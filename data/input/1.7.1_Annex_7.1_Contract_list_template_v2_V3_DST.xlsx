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stechit.sharepoint.com/sites/IndustrialMarket797/Shared Documents/Gare/2025_HACS_TenderBGC/"/>
    </mc:Choice>
  </mc:AlternateContent>
  <xr:revisionPtr revIDLastSave="18" documentId="13_ncr:1_{7DF4742B-6E91-4886-A87C-32C14CB4023D}" xr6:coauthVersionLast="47" xr6:coauthVersionMax="47" xr10:uidLastSave="{F9D5A09D-2A9C-440C-89B6-9CE211A73863}"/>
  <workbookProtection workbookAlgorithmName="SHA-512" workbookHashValue="wvWrEp+K6X2EXt1nD5xklx0GmVCQUjrlAHCd9zHeeD0vAKan23Oi2oPhD6YEbvzMEd0IkUWpI8UNHSOHXVMIlA==" workbookSaltValue="S3vZeeoBJNayapofWix7GA==" workbookSpinCount="100000" lockStructure="1"/>
  <bookViews>
    <workbookView xWindow="-28920" yWindow="-645" windowWidth="29040" windowHeight="16440" xr2:uid="{DD0BA542-EF08-46CC-BD6E-5F080C325893}"/>
  </bookViews>
  <sheets>
    <sheet name="Contract List" sheetId="6" r:id="rId1"/>
    <sheet name="Validation lists" sheetId="2" r:id="rId2"/>
    <sheet name="Expertise fields" sheetId="7" r:id="rId3"/>
  </sheets>
  <definedNames>
    <definedName name="Group_A___Evaluation__Monitoring_and_Benchmarking">'Validation lists'!$C$4:$C$7</definedName>
    <definedName name="Group_A___Legal_and_Regulatory_Advisory__including_digital_ready_policymaking">'Validation lists'!$C$2:$C$3</definedName>
    <definedName name="Group_A___Market_Analysis__Foresight_and_Strategic_Advice">'Validation lists'!$C$8:$C$11</definedName>
    <definedName name="Group_B___Digital_Strategy__Governance__AI_and_Data">'Validation lists'!$C$12:$C$17</definedName>
    <definedName name="Group_B___Implementation_and_Innovation">'Validation lists'!$C$18:$C$22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6" l="1"/>
  <c r="N8" i="6"/>
  <c r="N6" i="6"/>
  <c r="N7" i="6"/>
  <c r="N9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5" i="6"/>
  <c r="N4" i="6"/>
  <c r="N3" i="6"/>
  <c r="P41" i="6"/>
  <c r="T2" i="2"/>
</calcChain>
</file>

<file path=xl/sharedStrings.xml><?xml version="1.0" encoding="utf-8"?>
<sst xmlns="http://schemas.openxmlformats.org/spreadsheetml/2006/main" count="142" uniqueCount="87">
  <si>
    <t>Contract title (if it is a Specific Contract under a FWC, please also indicate the title and Lot of the FWC)</t>
  </si>
  <si>
    <t xml:space="preserve">Name of entity executing the Contract </t>
  </si>
  <si>
    <t>Client's name</t>
  </si>
  <si>
    <t>Name of contact person for the client</t>
  </si>
  <si>
    <t>Phone of contact person for the client</t>
  </si>
  <si>
    <t>E-mail of contact person for the client</t>
  </si>
  <si>
    <t>Contract reference provided using Annex 7.2.
(Yes/No)</t>
  </si>
  <si>
    <t>Contract start date</t>
  </si>
  <si>
    <t>Contract end date</t>
  </si>
  <si>
    <r>
      <t xml:space="preserve">Role of the entity executing the Contract 
</t>
    </r>
    <r>
      <rPr>
        <sz val="10"/>
        <color theme="1"/>
        <rFont val="Calibri"/>
        <family val="2"/>
        <scheme val="minor"/>
      </rPr>
      <t>(Sole contractor - group leader - group member - subcontractor)</t>
    </r>
  </si>
  <si>
    <t>Contract value 
(minimum 100,000.00 EUR)</t>
  </si>
  <si>
    <t xml:space="preserve"> Total invoiced value in EUR under the contract</t>
  </si>
  <si>
    <t xml:space="preserve"> Amount invoiced 
by the entity executing the contract (in EUR)</t>
  </si>
  <si>
    <t>Proportion 
of the contract executed by the entity (&gt;20 % of the total invoiced value)</t>
  </si>
  <si>
    <t>Field of expertise</t>
  </si>
  <si>
    <t>Sub-field of expertise</t>
  </si>
  <si>
    <t>(example do not delete) Contract  1</t>
  </si>
  <si>
    <t>name of contractor</t>
  </si>
  <si>
    <t>Client 1</t>
  </si>
  <si>
    <t>Name of contact 1</t>
  </si>
  <si>
    <t>+32 123456</t>
  </si>
  <si>
    <t>contact1@client1.com</t>
  </si>
  <si>
    <t>Yes</t>
  </si>
  <si>
    <t>Group A - Legal and Regulatory Advisory, including digital-ready policymaking</t>
  </si>
  <si>
    <t>Development of indicators or dashboards for digital policy monitoring</t>
  </si>
  <si>
    <t>(example do not delete) Contract  2</t>
  </si>
  <si>
    <t>Client 2</t>
  </si>
  <si>
    <t>Name of contact 2</t>
  </si>
  <si>
    <t>+32 123457</t>
  </si>
  <si>
    <t>contact2@client2.com</t>
  </si>
  <si>
    <t>No</t>
  </si>
  <si>
    <t>Group A - Market Analysis, Foresight and Strategic Advice</t>
  </si>
  <si>
    <t>Comparison of digital public sector solutions with market or industry standards</t>
  </si>
  <si>
    <t>(example do not delete) Contract  3</t>
  </si>
  <si>
    <t>Client 3</t>
  </si>
  <si>
    <t>Name of contact 3</t>
  </si>
  <si>
    <t>+32 123458</t>
  </si>
  <si>
    <t>contact3@client3.com</t>
  </si>
  <si>
    <t>Group B - Digital Strategy, Governance, AI and Data</t>
  </si>
  <si>
    <t xml:space="preserve">Assessment of IT capability maturity or long-term ICT planning. </t>
  </si>
  <si>
    <t>Please insert above a row per contract</t>
  </si>
  <si>
    <t>Contract Reference provided</t>
  </si>
  <si>
    <t>Fields of expertise</t>
  </si>
  <si>
    <t>Sub-fields of expertise</t>
  </si>
  <si>
    <t xml:space="preserve">Min </t>
  </si>
  <si>
    <t>Advice on the initiative’s digital aspects during the policy design phase</t>
  </si>
  <si>
    <t>Support to innovative policymaking</t>
  </si>
  <si>
    <t>Group A - Evaluation, Monitoring and Benchmarking</t>
  </si>
  <si>
    <t>Programme or policy evaluation at EU or national level</t>
  </si>
  <si>
    <t>Market standard/best practices comparison on open-source practices or public sector innovation</t>
  </si>
  <si>
    <t>Mapping of interoperability solutions and assessing them against a labelling or compliance framework.</t>
  </si>
  <si>
    <t>Foresight or technology monitoring related to ICT and society</t>
  </si>
  <si>
    <t>Evaluation of roll-out strategies, tool selection, or SLA best practices comparison</t>
  </si>
  <si>
    <t>Support of business process or architectural evaluations aligned with EU digital priorities</t>
  </si>
  <si>
    <t>ICT governance, including interoperability strategy, IT performance management, enterprise architecture or solution architecture</t>
  </si>
  <si>
    <t>Modelling of business process or sourcing strategies</t>
  </si>
  <si>
    <t>Interoperability in legal, organisational, semantic or technical dimensions</t>
  </si>
  <si>
    <t>Data management (e.g. big data, open data, scientific or public data)</t>
  </si>
  <si>
    <t>Data governance, particularly in the context of interoperability, cloud, or hybrid environments</t>
  </si>
  <si>
    <t>Group B - Implementation and Innovation</t>
  </si>
  <si>
    <t>Analysis, design, implementation, or testing of digital public services and infrastructures</t>
  </si>
  <si>
    <t>Support on the use of emerging technologies such as artificial intelligence or machine learning.</t>
  </si>
  <si>
    <t>Implementation of  interoperability</t>
  </si>
  <si>
    <t xml:space="preserve">Use of open source principles or tools in public administrations. </t>
  </si>
  <si>
    <t>Support on the sharing or reuse of digital assets</t>
  </si>
  <si>
    <t>Summary</t>
  </si>
  <si>
    <t>Group</t>
  </si>
  <si>
    <t>Expertise field</t>
  </si>
  <si>
    <t>Group A</t>
  </si>
  <si>
    <t>Legal and Regulatory Advisory, including digital-ready policymaking</t>
  </si>
  <si>
    <t>Evaluation, Monitoring and Benchmarking</t>
  </si>
  <si>
    <t>Market Analysis, Foresight and Strategic Advice</t>
  </si>
  <si>
    <t>Group B</t>
  </si>
  <si>
    <t>Digital Strategy, Governance, AI and Data</t>
  </si>
  <si>
    <t>Implementation and Innovation</t>
  </si>
  <si>
    <t>AFFIDAMENTO DI “SERVIZI APPLICATIVI” PER LA REALIZZAZIONE DI UN SISTEMA AVANZATO ED 
INTEGRATO DI MONITORAGGIO E PREVISIONE- PNRR M2C4_I 1.1 MEDIANTE ORDINATIVO DI FORNITURA 
NELL’AMBITO DELL’ACCORDO QUADRO PER I SERVIZI APPLICATIVI PER LE PUBBLICHE 
AMMINISTRAZIONI CENTRALI STIPULATO DA CONSIP 
ID 2483 – LOTTO 1 – CIG derivato 9865407765 - CUP F57H23001060006</t>
  </si>
  <si>
    <t>Dstech</t>
  </si>
  <si>
    <t>Ministero dell’Ambiente e della Sicurezza Energetica (MASE)</t>
  </si>
  <si>
    <t>Silvano Pecora</t>
  </si>
  <si>
    <t>pecora.silvano@mase.gov.it</t>
  </si>
  <si>
    <t>Group member</t>
  </si>
  <si>
    <t xml:space="preserve">Affidamento di servizi di supporto in ambito «Sanità digitale - Sistemi informativi sanitari e servizi al cittadino» per le Pubbliche Amministrazioni del SSN - id 2365 Contratto esecutivo 656/23
Lotti supporto 5-6 </t>
  </si>
  <si>
    <t>DSTECH SRL</t>
  </si>
  <si>
    <t>ARIA S.p.A.</t>
  </si>
  <si>
    <t>Maria Francesca Fecchio</t>
  </si>
  <si>
    <t>+39 366 5660865</t>
  </si>
  <si>
    <t xml:space="preserve"> francesca.fecchio@ariaspa.it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</si>
</sst>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&quot;€&quot;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0">
    <xf numFmtId="0" fontId="0" fillId="0" borderId="0"/>
    <xf numFmtId="0" fontId="8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70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8" fillId="3" borderId="8" xfId="1" applyFill="1" applyBorder="1" applyAlignment="1" applyProtection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8" xfId="0" quotePrefix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7" fillId="0" borderId="11" xfId="0" applyFont="1" applyBorder="1" applyAlignment="1">
      <alignment vertical="top" wrapText="1"/>
    </xf>
    <xf numFmtId="0" fontId="0" fillId="0" borderId="11" xfId="0" applyBorder="1" applyAlignment="1">
      <alignment wrapText="1"/>
    </xf>
    <xf numFmtId="0" fontId="1" fillId="6" borderId="12" xfId="3" applyFont="1" applyBorder="1" applyAlignment="1">
      <alignment horizontal="center"/>
    </xf>
    <xf numFmtId="0" fontId="1" fillId="6" borderId="14" xfId="3" applyFont="1" applyBorder="1" applyAlignment="1">
      <alignment horizontal="center"/>
    </xf>
    <xf numFmtId="0" fontId="9" fillId="11" borderId="1" xfId="6" applyFill="1" applyBorder="1" applyAlignment="1">
      <alignment wrapText="1"/>
    </xf>
    <xf numFmtId="0" fontId="9" fillId="10" borderId="1" xfId="6" applyFill="1" applyBorder="1" applyAlignment="1">
      <alignment wrapText="1"/>
    </xf>
    <xf numFmtId="0" fontId="9" fillId="11" borderId="1" xfId="4" applyFill="1" applyBorder="1" applyAlignment="1">
      <alignment vertical="top" wrapText="1"/>
    </xf>
    <xf numFmtId="0" fontId="9" fillId="11" borderId="1" xfId="4" applyFill="1" applyBorder="1" applyAlignment="1">
      <alignment wrapText="1"/>
    </xf>
    <xf numFmtId="0" fontId="1" fillId="11" borderId="8" xfId="6" applyFont="1" applyFill="1" applyBorder="1"/>
    <xf numFmtId="0" fontId="9" fillId="11" borderId="13" xfId="6" applyFill="1" applyBorder="1" applyAlignment="1">
      <alignment vertical="top" wrapText="1"/>
    </xf>
    <xf numFmtId="0" fontId="9" fillId="11" borderId="8" xfId="6" applyFill="1" applyBorder="1" applyAlignment="1">
      <alignment vertical="top" wrapText="1"/>
    </xf>
    <xf numFmtId="0" fontId="9" fillId="11" borderId="1" xfId="6" applyFill="1" applyBorder="1"/>
    <xf numFmtId="0" fontId="9" fillId="11" borderId="1" xfId="6" applyFill="1" applyBorder="1" applyAlignment="1">
      <alignment vertical="top" wrapText="1"/>
    </xf>
    <xf numFmtId="0" fontId="1" fillId="10" borderId="1" xfId="5" applyFont="1" applyFill="1" applyBorder="1"/>
    <xf numFmtId="0" fontId="9" fillId="10" borderId="1" xfId="5" applyFill="1" applyBorder="1" applyAlignment="1">
      <alignment wrapText="1"/>
    </xf>
    <xf numFmtId="0" fontId="9" fillId="10" borderId="1" xfId="5" applyFill="1" applyBorder="1"/>
    <xf numFmtId="0" fontId="5" fillId="0" borderId="1" xfId="0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0" fillId="4" borderId="9" xfId="0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14" fontId="5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14" fontId="5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1" fillId="0" borderId="0" xfId="0" applyFont="1" applyAlignment="1" applyProtection="1">
      <alignment wrapText="1"/>
      <protection locked="0"/>
    </xf>
    <xf numFmtId="44" fontId="5" fillId="3" borderId="1" xfId="7" applyFont="1" applyFill="1" applyBorder="1" applyAlignment="1">
      <alignment horizontal="center" vertical="center" wrapText="1"/>
    </xf>
    <xf numFmtId="44" fontId="5" fillId="0" borderId="1" xfId="7" applyFont="1" applyBorder="1" applyAlignment="1" applyProtection="1">
      <alignment horizontal="center" vertical="center" wrapText="1"/>
      <protection locked="0"/>
    </xf>
    <xf numFmtId="9" fontId="5" fillId="3" borderId="1" xfId="8" applyFont="1" applyFill="1" applyBorder="1" applyAlignment="1">
      <alignment horizontal="center" vertical="center" wrapText="1"/>
    </xf>
    <xf numFmtId="9" fontId="5" fillId="0" borderId="1" xfId="8" applyFont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>
      <alignment horizontal="center" vertical="center" wrapText="1"/>
    </xf>
    <xf numFmtId="164" fontId="5" fillId="0" borderId="1" xfId="7" applyNumberFormat="1" applyFont="1" applyBorder="1" applyAlignment="1" applyProtection="1">
      <alignment horizontal="center" vertical="center" wrapText="1"/>
      <protection locked="0"/>
    </xf>
    <xf numFmtId="0" fontId="5" fillId="0" borderId="1" xfId="8" applyNumberFormat="1" applyFont="1" applyBorder="1" applyAlignment="1" applyProtection="1">
      <alignment horizontal="center" vertical="center" wrapText="1"/>
      <protection locked="0"/>
    </xf>
    <xf numFmtId="0" fontId="8" fillId="4" borderId="9" xfId="1" applyFill="1" applyBorder="1" applyAlignment="1" applyProtection="1">
      <alignment horizontal="center" vertical="center"/>
      <protection locked="0"/>
    </xf>
    <xf numFmtId="0" fontId="0" fillId="4" borderId="9" xfId="0" quotePrefix="1" applyFill="1" applyBorder="1" applyAlignment="1" applyProtection="1">
      <alignment horizontal="center" vertical="center"/>
      <protection locked="0"/>
    </xf>
    <xf numFmtId="44" fontId="5" fillId="12" borderId="1" xfId="7" applyFont="1" applyFill="1" applyBorder="1" applyAlignment="1" applyProtection="1">
      <alignment horizontal="center" vertical="center" wrapText="1"/>
      <protection locked="0"/>
    </xf>
    <xf numFmtId="164" fontId="5" fillId="12" borderId="1" xfId="7" applyNumberFormat="1" applyFont="1" applyFill="1" applyBorder="1" applyAlignment="1" applyProtection="1">
      <alignment horizontal="center" vertical="center" wrapText="1"/>
      <protection locked="0"/>
    </xf>
    <xf numFmtId="0" fontId="5" fillId="12" borderId="1" xfId="8" applyNumberFormat="1" applyFont="1" applyFill="1" applyBorder="1" applyAlignment="1" applyProtection="1">
      <alignment horizontal="center" vertical="center" wrapText="1"/>
      <protection locked="0"/>
    </xf>
    <xf numFmtId="44" fontId="5" fillId="0" borderId="1" xfId="9" applyFont="1" applyBorder="1" applyAlignment="1" applyProtection="1">
      <alignment horizontal="center" vertical="center" wrapText="1"/>
      <protection locked="0"/>
    </xf>
    <xf numFmtId="0" fontId="10" fillId="5" borderId="0" xfId="2" applyFont="1" applyAlignment="1">
      <alignment horizontal="center"/>
    </xf>
    <xf numFmtId="0" fontId="9" fillId="5" borderId="0" xfId="2" applyAlignment="1">
      <alignment horizontal="center"/>
    </xf>
  </cellXfs>
  <cellStyles count="10">
    <cellStyle name="20% - Colore 4" xfId="4" builtinId="42"/>
    <cellStyle name="20% - Colore 6" xfId="6" builtinId="50"/>
    <cellStyle name="40% - Colore 1" xfId="2" builtinId="31"/>
    <cellStyle name="40% - Colore 4" xfId="5" builtinId="43"/>
    <cellStyle name="60% - Colore 1" xfId="3" builtinId="32"/>
    <cellStyle name="Collegamento ipertestuale" xfId="1" builtinId="8"/>
    <cellStyle name="Normale" xfId="0" builtinId="0"/>
    <cellStyle name="Percentuale" xfId="8" builtinId="5"/>
    <cellStyle name="Valuta" xfId="7" builtinId="4"/>
    <cellStyle name="Valuta 2" xfId="9" xr:uid="{5F8957A5-2082-4A27-9058-F4EE85D037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38</xdr:row>
      <xdr:rowOff>76200</xdr:rowOff>
    </xdr:from>
    <xdr:to>
      <xdr:col>7</xdr:col>
      <xdr:colOff>676275</xdr:colOff>
      <xdr:row>43</xdr:row>
      <xdr:rowOff>76200</xdr:rowOff>
    </xdr:to>
    <xdr:sp macro="" textlink="">
      <xdr:nvSpPr>
        <xdr:cNvPr id="11" name="TextBox 2">
          <a:extLst>
            <a:ext uri="{FF2B5EF4-FFF2-40B4-BE49-F238E27FC236}">
              <a16:creationId xmlns:a16="http://schemas.microsoft.com/office/drawing/2014/main" id="{14B71B53-B6DC-65F4-B4FE-8BEA538BEBFC}"/>
            </a:ext>
            <a:ext uri="{147F2762-F138-4A5C-976F-8EAC2B608ADB}">
              <a16:predDERef xmlns:a16="http://schemas.microsoft.com/office/drawing/2014/main" pred="{8DD7E1A4-A8F4-BC84-5F5E-0C081F402ECD}"/>
            </a:ext>
          </a:extLst>
        </xdr:cNvPr>
        <xdr:cNvSpPr txBox="1"/>
      </xdr:nvSpPr>
      <xdr:spPr>
        <a:xfrm>
          <a:off x="9525" y="3324225"/>
          <a:ext cx="99441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N.B. By submitting this list, the tenderer confirms that :</a:t>
          </a:r>
        </a:p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1) Clients were established within the EEA;</a:t>
          </a:r>
        </a:p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2) The services under the</a:t>
          </a:r>
          <a:r>
            <a:rPr lang="en-US" sz="1100" b="1" i="0" u="none" strike="noStrike" baseline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contract were executed according to the contractual terms;</a:t>
          </a:r>
        </a:p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3) If the services were provided in the quality of either group member or subcontractor, the share of service provided to the client </a:t>
          </a:r>
          <a:r>
            <a:rPr lang="en-IE" b="1"/>
            <a:t>must have been superior to 20 % of the total invoiced value, calculated as a ratio between the amount invoiced by the group member or subcontractor and the overall invoiced value of the contract.</a:t>
          </a:r>
          <a:endParaRPr lang="en-US" sz="11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act2@client2.com" TargetMode="External"/><Relationship Id="rId2" Type="http://schemas.openxmlformats.org/officeDocument/2006/relationships/hyperlink" Target="mailto:contact3@client3.com" TargetMode="External"/><Relationship Id="rId1" Type="http://schemas.openxmlformats.org/officeDocument/2006/relationships/hyperlink" Target="mailto:contact1@client1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ecora.silvano@mase.gov.i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4C7D-9193-48C0-9993-62A3487B6F08}">
  <sheetPr>
    <pageSetUpPr fitToPage="1"/>
  </sheetPr>
  <dimension ref="A1:P110"/>
  <sheetViews>
    <sheetView showGridLines="0" tabSelected="1" zoomScale="90" zoomScaleNormal="90" workbookViewId="0"/>
  </sheetViews>
  <sheetFormatPr defaultColWidth="8.77734375" defaultRowHeight="15" customHeight="1" x14ac:dyDescent="0.3"/>
  <cols>
    <col min="1" max="1" width="32.77734375" customWidth="1"/>
    <col min="2" max="2" width="20.21875" customWidth="1"/>
    <col min="3" max="3" width="15.21875" customWidth="1"/>
    <col min="4" max="4" width="17.21875" customWidth="1"/>
    <col min="5" max="5" width="16.44140625" customWidth="1"/>
    <col min="6" max="6" width="19.21875" customWidth="1"/>
    <col min="7" max="7" width="18.21875" customWidth="1"/>
    <col min="8" max="8" width="14.5546875" style="2" customWidth="1"/>
    <col min="9" max="10" width="14" customWidth="1"/>
    <col min="11" max="11" width="16.77734375" customWidth="1"/>
    <col min="12" max="12" width="14" customWidth="1"/>
    <col min="13" max="13" width="16.77734375" customWidth="1"/>
    <col min="14" max="14" width="14" customWidth="1"/>
    <col min="15" max="15" width="68.5546875" customWidth="1"/>
    <col min="16" max="16" width="43.77734375" customWidth="1"/>
  </cols>
  <sheetData>
    <row r="1" spans="1:16" ht="112.8" x14ac:dyDescent="0.3">
      <c r="A1" s="6" t="s">
        <v>0</v>
      </c>
      <c r="B1" s="59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6" t="s">
        <v>14</v>
      </c>
      <c r="P1" s="7" t="s">
        <v>15</v>
      </c>
    </row>
    <row r="2" spans="1:16" ht="14.4" x14ac:dyDescent="0.3">
      <c r="A2" s="9"/>
      <c r="B2" s="10"/>
      <c r="C2" s="11"/>
      <c r="D2" s="12"/>
      <c r="E2" s="13"/>
      <c r="F2" s="14"/>
      <c r="G2" s="13"/>
      <c r="H2" s="13"/>
      <c r="I2" s="13"/>
      <c r="J2" s="13"/>
      <c r="K2" s="13"/>
      <c r="L2" s="13"/>
      <c r="M2" s="13"/>
      <c r="N2" s="13"/>
      <c r="O2" s="12"/>
      <c r="P2" s="13"/>
    </row>
    <row r="3" spans="1:16" ht="28.8" x14ac:dyDescent="0.3">
      <c r="A3" s="15" t="s">
        <v>16</v>
      </c>
      <c r="B3" s="17" t="s">
        <v>17</v>
      </c>
      <c r="C3" s="18" t="s">
        <v>18</v>
      </c>
      <c r="D3" s="19" t="s">
        <v>19</v>
      </c>
      <c r="E3" s="20" t="s">
        <v>20</v>
      </c>
      <c r="F3" s="4" t="s">
        <v>21</v>
      </c>
      <c r="G3" s="21" t="s">
        <v>22</v>
      </c>
      <c r="H3" s="22">
        <v>44655</v>
      </c>
      <c r="I3" s="22">
        <v>45057</v>
      </c>
      <c r="J3" s="22"/>
      <c r="K3" s="55"/>
      <c r="L3" s="55"/>
      <c r="M3" s="55"/>
      <c r="N3" s="57" t="e">
        <f>M3/L3</f>
        <v>#DIV/0!</v>
      </c>
      <c r="O3" s="15" t="s">
        <v>23</v>
      </c>
      <c r="P3" s="15" t="s">
        <v>24</v>
      </c>
    </row>
    <row r="4" spans="1:16" ht="28.8" x14ac:dyDescent="0.3">
      <c r="A4" s="15" t="s">
        <v>25</v>
      </c>
      <c r="B4" s="17" t="s">
        <v>17</v>
      </c>
      <c r="C4" s="18" t="s">
        <v>26</v>
      </c>
      <c r="D4" s="19" t="s">
        <v>27</v>
      </c>
      <c r="E4" s="20" t="s">
        <v>28</v>
      </c>
      <c r="F4" s="4" t="s">
        <v>29</v>
      </c>
      <c r="G4" s="21" t="s">
        <v>30</v>
      </c>
      <c r="H4" s="22">
        <v>44621</v>
      </c>
      <c r="I4" s="22">
        <v>45394</v>
      </c>
      <c r="J4" s="22"/>
      <c r="K4" s="55"/>
      <c r="L4" s="55"/>
      <c r="M4" s="55"/>
      <c r="N4" s="57" t="e">
        <f>M4/L4</f>
        <v>#DIV/0!</v>
      </c>
      <c r="O4" s="15" t="s">
        <v>31</v>
      </c>
      <c r="P4" s="15" t="s">
        <v>32</v>
      </c>
    </row>
    <row r="5" spans="1:16" ht="28.8" x14ac:dyDescent="0.3">
      <c r="A5" s="15" t="s">
        <v>33</v>
      </c>
      <c r="B5" s="17" t="s">
        <v>17</v>
      </c>
      <c r="C5" s="18" t="s">
        <v>34</v>
      </c>
      <c r="D5" s="19" t="s">
        <v>35</v>
      </c>
      <c r="E5" s="20" t="s">
        <v>36</v>
      </c>
      <c r="F5" s="4" t="s">
        <v>37</v>
      </c>
      <c r="G5" s="21" t="s">
        <v>22</v>
      </c>
      <c r="H5" s="22">
        <v>45056</v>
      </c>
      <c r="I5" s="22">
        <v>45455</v>
      </c>
      <c r="J5" s="22"/>
      <c r="K5" s="55"/>
      <c r="L5" s="55"/>
      <c r="M5" s="55"/>
      <c r="N5" s="57" t="e">
        <f>M5/L5</f>
        <v>#DIV/0!</v>
      </c>
      <c r="O5" s="15" t="s">
        <v>38</v>
      </c>
      <c r="P5" s="15" t="s">
        <v>39</v>
      </c>
    </row>
    <row r="6" spans="1:16" ht="201.6" x14ac:dyDescent="0.3">
      <c r="A6" s="40" t="s">
        <v>75</v>
      </c>
      <c r="B6" s="41" t="s">
        <v>76</v>
      </c>
      <c r="C6" s="44" t="s">
        <v>77</v>
      </c>
      <c r="D6" s="43" t="s">
        <v>78</v>
      </c>
      <c r="E6" s="43"/>
      <c r="F6" s="62" t="s">
        <v>79</v>
      </c>
      <c r="G6" s="44"/>
      <c r="H6" s="45">
        <v>45134</v>
      </c>
      <c r="I6" s="45">
        <v>46203</v>
      </c>
      <c r="J6" s="45" t="s">
        <v>80</v>
      </c>
      <c r="K6" s="56">
        <v>4598000</v>
      </c>
      <c r="L6" s="60">
        <v>840267.55</v>
      </c>
      <c r="M6" s="56">
        <v>15455484</v>
      </c>
      <c r="N6" s="61">
        <f>M6/L6</f>
        <v>18.393527156915674</v>
      </c>
      <c r="O6" s="40" t="s">
        <v>59</v>
      </c>
      <c r="P6" s="40" t="s">
        <v>63</v>
      </c>
    </row>
    <row r="7" spans="1:16" ht="14.4" x14ac:dyDescent="0.3">
      <c r="A7" s="40"/>
      <c r="B7" s="41"/>
      <c r="C7" s="42"/>
      <c r="D7" s="43"/>
      <c r="E7" s="43"/>
      <c r="F7" s="43"/>
      <c r="G7" s="44"/>
      <c r="H7" s="45"/>
      <c r="I7" s="45"/>
      <c r="J7" s="45"/>
      <c r="K7" s="56"/>
      <c r="L7" s="56"/>
      <c r="M7" s="56"/>
      <c r="N7" s="58" t="e">
        <f t="shared" ref="N7:N35" si="0">M7/L7</f>
        <v>#DIV/0!</v>
      </c>
      <c r="O7" s="40"/>
      <c r="P7" s="40"/>
    </row>
    <row r="8" spans="1:16" ht="100.8" x14ac:dyDescent="0.3">
      <c r="A8" s="40" t="s">
        <v>81</v>
      </c>
      <c r="B8" s="41" t="s">
        <v>82</v>
      </c>
      <c r="C8" s="42" t="s">
        <v>83</v>
      </c>
      <c r="D8" s="43" t="s">
        <v>84</v>
      </c>
      <c r="E8" s="63" t="s">
        <v>85</v>
      </c>
      <c r="F8" s="43" t="s">
        <v>86</v>
      </c>
      <c r="G8" s="44" t="s">
        <v>30</v>
      </c>
      <c r="H8" s="45">
        <v>44927</v>
      </c>
      <c r="I8" s="45">
        <v>46022</v>
      </c>
      <c r="J8" s="45" t="s">
        <v>80</v>
      </c>
      <c r="K8" s="64">
        <v>10000000</v>
      </c>
      <c r="L8" s="65">
        <v>8190389.3799999999</v>
      </c>
      <c r="M8" s="64">
        <v>122980</v>
      </c>
      <c r="N8" s="66">
        <f>M8/L8</f>
        <v>1.5015159144973398E-2</v>
      </c>
      <c r="O8" s="40" t="s">
        <v>47</v>
      </c>
      <c r="P8" s="40" t="s">
        <v>50</v>
      </c>
    </row>
    <row r="9" spans="1:16" ht="14.4" x14ac:dyDescent="0.3">
      <c r="A9" s="40"/>
      <c r="B9" s="41"/>
      <c r="C9" s="42"/>
      <c r="D9" s="43"/>
      <c r="E9" s="43"/>
      <c r="F9" s="43"/>
      <c r="G9" s="44"/>
      <c r="H9" s="45"/>
      <c r="I9" s="45"/>
      <c r="J9" s="45"/>
      <c r="K9" s="56"/>
      <c r="L9" s="56"/>
      <c r="M9" s="56"/>
      <c r="N9" s="58" t="e">
        <f t="shared" si="0"/>
        <v>#DIV/0!</v>
      </c>
      <c r="O9" s="40"/>
      <c r="P9" s="40"/>
    </row>
    <row r="10" spans="1:16" ht="14.4" x14ac:dyDescent="0.3">
      <c r="A10" s="40"/>
      <c r="B10" s="41"/>
      <c r="C10" s="42"/>
      <c r="D10" s="43"/>
      <c r="E10" s="43"/>
      <c r="F10" s="62"/>
      <c r="G10" s="44"/>
      <c r="H10" s="45"/>
      <c r="I10" s="45"/>
      <c r="J10" s="45"/>
      <c r="K10" s="67"/>
      <c r="L10" s="67"/>
      <c r="M10" s="67"/>
      <c r="N10" s="58" t="e">
        <f t="shared" si="0"/>
        <v>#DIV/0!</v>
      </c>
      <c r="O10" s="40"/>
      <c r="P10" s="40"/>
    </row>
    <row r="11" spans="1:16" ht="14.4" x14ac:dyDescent="0.3">
      <c r="A11" s="40"/>
      <c r="B11" s="41"/>
      <c r="C11" s="42"/>
      <c r="D11" s="43"/>
      <c r="E11" s="43"/>
      <c r="F11" s="43"/>
      <c r="G11" s="44"/>
      <c r="H11" s="45"/>
      <c r="I11" s="45"/>
      <c r="J11" s="45"/>
      <c r="K11" s="56"/>
      <c r="L11" s="56"/>
      <c r="M11" s="56"/>
      <c r="N11" s="58" t="e">
        <f t="shared" si="0"/>
        <v>#DIV/0!</v>
      </c>
      <c r="O11" s="40"/>
      <c r="P11" s="40"/>
    </row>
    <row r="12" spans="1:16" ht="14.4" x14ac:dyDescent="0.3">
      <c r="A12" s="40"/>
      <c r="B12" s="41"/>
      <c r="C12" s="42"/>
      <c r="D12" s="43"/>
      <c r="E12" s="43"/>
      <c r="F12" s="43"/>
      <c r="G12" s="44"/>
      <c r="H12" s="45"/>
      <c r="I12" s="45"/>
      <c r="J12" s="45"/>
      <c r="K12" s="56"/>
      <c r="L12" s="56"/>
      <c r="M12" s="56"/>
      <c r="N12" s="58" t="e">
        <f t="shared" si="0"/>
        <v>#DIV/0!</v>
      </c>
      <c r="O12" s="40"/>
      <c r="P12" s="40"/>
    </row>
    <row r="13" spans="1:16" ht="14.4" x14ac:dyDescent="0.3">
      <c r="A13" s="40"/>
      <c r="B13" s="41"/>
      <c r="C13" s="42"/>
      <c r="D13" s="43"/>
      <c r="E13" s="43"/>
      <c r="F13" s="43"/>
      <c r="G13" s="44"/>
      <c r="H13" s="45"/>
      <c r="I13" s="45"/>
      <c r="J13" s="45"/>
      <c r="K13" s="56"/>
      <c r="L13" s="56"/>
      <c r="M13" s="56"/>
      <c r="N13" s="58" t="e">
        <f t="shared" si="0"/>
        <v>#DIV/0!</v>
      </c>
      <c r="O13" s="40"/>
      <c r="P13" s="40"/>
    </row>
    <row r="14" spans="1:16" ht="14.4" x14ac:dyDescent="0.3">
      <c r="A14" s="40"/>
      <c r="B14" s="41"/>
      <c r="C14" s="42"/>
      <c r="D14" s="43"/>
      <c r="E14" s="43"/>
      <c r="F14" s="43"/>
      <c r="G14" s="44"/>
      <c r="H14" s="45"/>
      <c r="I14" s="45"/>
      <c r="J14" s="45"/>
      <c r="K14" s="56"/>
      <c r="L14" s="56"/>
      <c r="M14" s="56"/>
      <c r="N14" s="58" t="e">
        <f t="shared" si="0"/>
        <v>#DIV/0!</v>
      </c>
      <c r="O14" s="40"/>
      <c r="P14" s="40"/>
    </row>
    <row r="15" spans="1:16" ht="14.4" x14ac:dyDescent="0.3">
      <c r="A15" s="40"/>
      <c r="B15" s="41"/>
      <c r="C15" s="42"/>
      <c r="D15" s="43"/>
      <c r="E15" s="43"/>
      <c r="F15" s="43"/>
      <c r="G15" s="44"/>
      <c r="H15" s="45"/>
      <c r="I15" s="45"/>
      <c r="J15" s="45"/>
      <c r="K15" s="56"/>
      <c r="L15" s="56"/>
      <c r="M15" s="56"/>
      <c r="N15" s="58" t="e">
        <f t="shared" si="0"/>
        <v>#DIV/0!</v>
      </c>
      <c r="O15" s="40"/>
      <c r="P15" s="40"/>
    </row>
    <row r="16" spans="1:16" ht="14.4" x14ac:dyDescent="0.3">
      <c r="A16" s="40"/>
      <c r="B16" s="41"/>
      <c r="C16" s="42"/>
      <c r="D16" s="43"/>
      <c r="E16" s="43"/>
      <c r="F16" s="43"/>
      <c r="G16" s="44"/>
      <c r="H16" s="45"/>
      <c r="I16" s="45"/>
      <c r="J16" s="45"/>
      <c r="K16" s="56"/>
      <c r="L16" s="56"/>
      <c r="M16" s="56"/>
      <c r="N16" s="58" t="e">
        <f t="shared" si="0"/>
        <v>#DIV/0!</v>
      </c>
      <c r="O16" s="40"/>
      <c r="P16" s="40"/>
    </row>
    <row r="17" spans="1:16" ht="14.4" x14ac:dyDescent="0.3">
      <c r="A17" s="40"/>
      <c r="B17" s="41"/>
      <c r="C17" s="42"/>
      <c r="D17" s="43"/>
      <c r="E17" s="43"/>
      <c r="F17" s="43"/>
      <c r="G17" s="44"/>
      <c r="H17" s="45"/>
      <c r="I17" s="45"/>
      <c r="J17" s="45"/>
      <c r="K17" s="56"/>
      <c r="L17" s="56"/>
      <c r="M17" s="56"/>
      <c r="N17" s="58" t="e">
        <f t="shared" si="0"/>
        <v>#DIV/0!</v>
      </c>
      <c r="O17" s="40"/>
      <c r="P17" s="40"/>
    </row>
    <row r="18" spans="1:16" ht="14.4" x14ac:dyDescent="0.3">
      <c r="A18" s="40"/>
      <c r="B18" s="41"/>
      <c r="C18" s="42"/>
      <c r="D18" s="43"/>
      <c r="E18" s="43"/>
      <c r="F18" s="43"/>
      <c r="G18" s="44"/>
      <c r="H18" s="45"/>
      <c r="I18" s="45"/>
      <c r="J18" s="45"/>
      <c r="K18" s="56"/>
      <c r="L18" s="56"/>
      <c r="M18" s="56"/>
      <c r="N18" s="58" t="e">
        <f t="shared" si="0"/>
        <v>#DIV/0!</v>
      </c>
      <c r="O18" s="40"/>
      <c r="P18" s="40"/>
    </row>
    <row r="19" spans="1:16" ht="14.4" x14ac:dyDescent="0.3">
      <c r="A19" s="40"/>
      <c r="B19" s="41"/>
      <c r="C19" s="42"/>
      <c r="D19" s="43"/>
      <c r="E19" s="43"/>
      <c r="F19" s="43"/>
      <c r="G19" s="44"/>
      <c r="H19" s="45"/>
      <c r="I19" s="45"/>
      <c r="J19" s="45"/>
      <c r="K19" s="56"/>
      <c r="L19" s="56"/>
      <c r="M19" s="56"/>
      <c r="N19" s="58" t="e">
        <f t="shared" si="0"/>
        <v>#DIV/0!</v>
      </c>
      <c r="O19" s="40"/>
      <c r="P19" s="40"/>
    </row>
    <row r="20" spans="1:16" ht="14.4" x14ac:dyDescent="0.3">
      <c r="A20" s="40"/>
      <c r="B20" s="41"/>
      <c r="C20" s="42"/>
      <c r="D20" s="43"/>
      <c r="E20" s="43"/>
      <c r="F20" s="43"/>
      <c r="G20" s="44"/>
      <c r="H20" s="45"/>
      <c r="I20" s="45"/>
      <c r="J20" s="45"/>
      <c r="K20" s="56"/>
      <c r="L20" s="56"/>
      <c r="M20" s="56"/>
      <c r="N20" s="58" t="e">
        <f t="shared" si="0"/>
        <v>#DIV/0!</v>
      </c>
      <c r="O20" s="40"/>
      <c r="P20" s="40"/>
    </row>
    <row r="21" spans="1:16" ht="14.4" x14ac:dyDescent="0.3">
      <c r="A21" s="40"/>
      <c r="B21" s="41"/>
      <c r="C21" s="42"/>
      <c r="D21" s="43"/>
      <c r="E21" s="43"/>
      <c r="F21" s="43"/>
      <c r="G21" s="44"/>
      <c r="H21" s="45"/>
      <c r="I21" s="45"/>
      <c r="J21" s="45"/>
      <c r="K21" s="56"/>
      <c r="L21" s="56"/>
      <c r="M21" s="56"/>
      <c r="N21" s="58" t="e">
        <f t="shared" si="0"/>
        <v>#DIV/0!</v>
      </c>
      <c r="O21" s="40"/>
      <c r="P21" s="40"/>
    </row>
    <row r="22" spans="1:16" ht="14.4" x14ac:dyDescent="0.3">
      <c r="A22" s="40"/>
      <c r="B22" s="41"/>
      <c r="C22" s="42"/>
      <c r="D22" s="43"/>
      <c r="E22" s="43"/>
      <c r="F22" s="43"/>
      <c r="G22" s="44"/>
      <c r="H22" s="45"/>
      <c r="I22" s="45"/>
      <c r="J22" s="45"/>
      <c r="K22" s="56"/>
      <c r="L22" s="56"/>
      <c r="M22" s="56"/>
      <c r="N22" s="58" t="e">
        <f t="shared" si="0"/>
        <v>#DIV/0!</v>
      </c>
      <c r="O22" s="40"/>
      <c r="P22" s="40"/>
    </row>
    <row r="23" spans="1:16" ht="14.4" x14ac:dyDescent="0.3">
      <c r="A23" s="40"/>
      <c r="B23" s="41"/>
      <c r="C23" s="42"/>
      <c r="D23" s="43"/>
      <c r="E23" s="43"/>
      <c r="F23" s="43"/>
      <c r="G23" s="44"/>
      <c r="H23" s="45"/>
      <c r="I23" s="45"/>
      <c r="J23" s="45"/>
      <c r="K23" s="56"/>
      <c r="L23" s="56"/>
      <c r="M23" s="56"/>
      <c r="N23" s="58" t="e">
        <f t="shared" si="0"/>
        <v>#DIV/0!</v>
      </c>
      <c r="O23" s="40"/>
      <c r="P23" s="40"/>
    </row>
    <row r="24" spans="1:16" ht="14.4" x14ac:dyDescent="0.3">
      <c r="A24" s="40"/>
      <c r="B24" s="41"/>
      <c r="C24" s="42"/>
      <c r="D24" s="43"/>
      <c r="E24" s="43"/>
      <c r="F24" s="43"/>
      <c r="G24" s="44"/>
      <c r="H24" s="45"/>
      <c r="I24" s="45"/>
      <c r="J24" s="45"/>
      <c r="K24" s="56"/>
      <c r="L24" s="56"/>
      <c r="M24" s="56"/>
      <c r="N24" s="58" t="e">
        <f t="shared" si="0"/>
        <v>#DIV/0!</v>
      </c>
      <c r="O24" s="40"/>
      <c r="P24" s="40"/>
    </row>
    <row r="25" spans="1:16" ht="14.4" x14ac:dyDescent="0.3">
      <c r="A25" s="40"/>
      <c r="B25" s="41"/>
      <c r="C25" s="42"/>
      <c r="D25" s="43"/>
      <c r="E25" s="43"/>
      <c r="F25" s="43"/>
      <c r="G25" s="44"/>
      <c r="H25" s="45"/>
      <c r="I25" s="45"/>
      <c r="J25" s="45"/>
      <c r="K25" s="56"/>
      <c r="L25" s="56"/>
      <c r="M25" s="56"/>
      <c r="N25" s="58" t="e">
        <f t="shared" si="0"/>
        <v>#DIV/0!</v>
      </c>
      <c r="O25" s="40"/>
      <c r="P25" s="40"/>
    </row>
    <row r="26" spans="1:16" ht="14.4" x14ac:dyDescent="0.3">
      <c r="A26" s="40"/>
      <c r="B26" s="41"/>
      <c r="C26" s="42"/>
      <c r="D26" s="43"/>
      <c r="E26" s="43"/>
      <c r="F26" s="43"/>
      <c r="G26" s="44"/>
      <c r="H26" s="45"/>
      <c r="I26" s="45"/>
      <c r="J26" s="45"/>
      <c r="K26" s="56"/>
      <c r="L26" s="56"/>
      <c r="M26" s="56"/>
      <c r="N26" s="58" t="e">
        <f t="shared" si="0"/>
        <v>#DIV/0!</v>
      </c>
      <c r="O26" s="40"/>
      <c r="P26" s="40"/>
    </row>
    <row r="27" spans="1:16" ht="14.4" x14ac:dyDescent="0.3">
      <c r="A27" s="40"/>
      <c r="B27" s="41"/>
      <c r="C27" s="42"/>
      <c r="D27" s="43"/>
      <c r="E27" s="43"/>
      <c r="F27" s="43"/>
      <c r="G27" s="44"/>
      <c r="H27" s="45"/>
      <c r="I27" s="45"/>
      <c r="J27" s="45"/>
      <c r="K27" s="56"/>
      <c r="L27" s="56"/>
      <c r="M27" s="56"/>
      <c r="N27" s="58" t="e">
        <f t="shared" si="0"/>
        <v>#DIV/0!</v>
      </c>
      <c r="O27" s="40"/>
      <c r="P27" s="40"/>
    </row>
    <row r="28" spans="1:16" ht="14.4" x14ac:dyDescent="0.3">
      <c r="A28" s="40"/>
      <c r="B28" s="41"/>
      <c r="C28" s="42"/>
      <c r="D28" s="43"/>
      <c r="E28" s="43"/>
      <c r="F28" s="43"/>
      <c r="G28" s="44"/>
      <c r="H28" s="45"/>
      <c r="I28" s="45"/>
      <c r="J28" s="45"/>
      <c r="K28" s="56"/>
      <c r="L28" s="56"/>
      <c r="M28" s="56"/>
      <c r="N28" s="58" t="e">
        <f t="shared" si="0"/>
        <v>#DIV/0!</v>
      </c>
      <c r="O28" s="40"/>
      <c r="P28" s="40"/>
    </row>
    <row r="29" spans="1:16" ht="14.4" x14ac:dyDescent="0.3">
      <c r="A29" s="40"/>
      <c r="B29" s="41"/>
      <c r="C29" s="42"/>
      <c r="D29" s="43"/>
      <c r="E29" s="43"/>
      <c r="F29" s="43"/>
      <c r="G29" s="44"/>
      <c r="H29" s="45"/>
      <c r="I29" s="45"/>
      <c r="J29" s="45"/>
      <c r="K29" s="56"/>
      <c r="L29" s="56"/>
      <c r="M29" s="56"/>
      <c r="N29" s="58" t="e">
        <f t="shared" si="0"/>
        <v>#DIV/0!</v>
      </c>
      <c r="O29" s="40"/>
      <c r="P29" s="40"/>
    </row>
    <row r="30" spans="1:16" ht="14.4" x14ac:dyDescent="0.3">
      <c r="A30" s="40"/>
      <c r="B30" s="41"/>
      <c r="C30" s="42"/>
      <c r="D30" s="43"/>
      <c r="E30" s="43"/>
      <c r="F30" s="43"/>
      <c r="G30" s="44"/>
      <c r="H30" s="45"/>
      <c r="I30" s="45"/>
      <c r="J30" s="45"/>
      <c r="K30" s="56"/>
      <c r="L30" s="56"/>
      <c r="M30" s="56"/>
      <c r="N30" s="58" t="e">
        <f t="shared" si="0"/>
        <v>#DIV/0!</v>
      </c>
      <c r="O30" s="40"/>
      <c r="P30" s="40"/>
    </row>
    <row r="31" spans="1:16" ht="14.4" x14ac:dyDescent="0.3">
      <c r="A31" s="40"/>
      <c r="B31" s="41"/>
      <c r="C31" s="42"/>
      <c r="D31" s="43"/>
      <c r="E31" s="43"/>
      <c r="F31" s="43"/>
      <c r="G31" s="44"/>
      <c r="H31" s="45"/>
      <c r="I31" s="45"/>
      <c r="J31" s="45"/>
      <c r="K31" s="56"/>
      <c r="L31" s="56"/>
      <c r="M31" s="56"/>
      <c r="N31" s="58" t="e">
        <f t="shared" si="0"/>
        <v>#DIV/0!</v>
      </c>
      <c r="O31" s="40"/>
      <c r="P31" s="40"/>
    </row>
    <row r="32" spans="1:16" ht="14.4" x14ac:dyDescent="0.3">
      <c r="A32" s="40"/>
      <c r="B32" s="41"/>
      <c r="C32" s="42"/>
      <c r="D32" s="43"/>
      <c r="E32" s="43"/>
      <c r="F32" s="43"/>
      <c r="G32" s="44"/>
      <c r="H32" s="45"/>
      <c r="I32" s="45"/>
      <c r="J32" s="45"/>
      <c r="K32" s="56"/>
      <c r="L32" s="56"/>
      <c r="M32" s="56"/>
      <c r="N32" s="58" t="e">
        <f t="shared" si="0"/>
        <v>#DIV/0!</v>
      </c>
      <c r="O32" s="40"/>
      <c r="P32" s="40"/>
    </row>
    <row r="33" spans="1:16" ht="14.4" x14ac:dyDescent="0.3">
      <c r="A33" s="40"/>
      <c r="B33" s="41"/>
      <c r="C33" s="42"/>
      <c r="D33" s="43"/>
      <c r="E33" s="43"/>
      <c r="F33" s="43"/>
      <c r="G33" s="44"/>
      <c r="H33" s="45"/>
      <c r="I33" s="45"/>
      <c r="J33" s="45"/>
      <c r="K33" s="56"/>
      <c r="L33" s="56"/>
      <c r="M33" s="56"/>
      <c r="N33" s="58" t="e">
        <f t="shared" si="0"/>
        <v>#DIV/0!</v>
      </c>
      <c r="O33" s="40"/>
      <c r="P33" s="40"/>
    </row>
    <row r="34" spans="1:16" ht="14.4" x14ac:dyDescent="0.3">
      <c r="A34" s="40"/>
      <c r="B34" s="41"/>
      <c r="C34" s="42"/>
      <c r="D34" s="43"/>
      <c r="E34" s="43"/>
      <c r="F34" s="43"/>
      <c r="G34" s="44"/>
      <c r="H34" s="45"/>
      <c r="I34" s="45"/>
      <c r="J34" s="45"/>
      <c r="K34" s="56"/>
      <c r="L34" s="56"/>
      <c r="M34" s="56"/>
      <c r="N34" s="58" t="e">
        <f t="shared" si="0"/>
        <v>#DIV/0!</v>
      </c>
      <c r="O34" s="40"/>
      <c r="P34" s="40"/>
    </row>
    <row r="35" spans="1:16" ht="14.4" x14ac:dyDescent="0.3">
      <c r="A35" s="40"/>
      <c r="B35" s="41"/>
      <c r="C35" s="42"/>
      <c r="D35" s="43"/>
      <c r="E35" s="43"/>
      <c r="F35" s="43"/>
      <c r="G35" s="44"/>
      <c r="H35" s="45"/>
      <c r="I35" s="45"/>
      <c r="J35" s="45"/>
      <c r="K35" s="56"/>
      <c r="L35" s="56"/>
      <c r="M35" s="56"/>
      <c r="N35" s="58" t="e">
        <f t="shared" si="0"/>
        <v>#DIV/0!</v>
      </c>
      <c r="O35" s="40"/>
      <c r="P35" s="40"/>
    </row>
    <row r="36" spans="1:16" ht="14.4" x14ac:dyDescent="0.3">
      <c r="A36" s="46"/>
      <c r="B36" s="47"/>
      <c r="C36" s="48"/>
      <c r="D36" s="49"/>
      <c r="E36" s="49"/>
      <c r="F36" s="49"/>
      <c r="G36" s="50"/>
      <c r="H36" s="51"/>
      <c r="I36" s="51"/>
      <c r="J36" s="51"/>
      <c r="K36" s="51"/>
      <c r="L36" s="51"/>
      <c r="M36" s="51"/>
      <c r="N36" s="51"/>
      <c r="O36" s="46"/>
      <c r="P36" s="52"/>
    </row>
    <row r="37" spans="1:16" ht="15" customHeight="1" x14ac:dyDescent="0.3">
      <c r="A37" s="53"/>
      <c r="B37" s="52"/>
      <c r="C37" s="52"/>
      <c r="D37" s="52"/>
      <c r="E37" s="52"/>
      <c r="F37" s="52"/>
      <c r="G37" s="52"/>
      <c r="H37" s="53"/>
      <c r="I37" s="52"/>
      <c r="J37" s="52"/>
      <c r="K37" s="52"/>
      <c r="L37" s="52"/>
      <c r="M37" s="52"/>
      <c r="N37" s="52"/>
      <c r="O37" s="52"/>
      <c r="P37" s="52"/>
    </row>
    <row r="38" spans="1:16" ht="35.1" customHeight="1" x14ac:dyDescent="0.3">
      <c r="A38" s="54" t="s">
        <v>40</v>
      </c>
      <c r="B38" s="52"/>
      <c r="C38" s="52"/>
      <c r="D38" s="52"/>
      <c r="E38" s="52"/>
      <c r="F38" s="52"/>
      <c r="G38" s="52"/>
      <c r="H38" s="53"/>
      <c r="I38" s="52"/>
      <c r="J38" s="52"/>
      <c r="K38" s="52"/>
      <c r="L38" s="52"/>
      <c r="M38" s="52"/>
      <c r="N38" s="52"/>
      <c r="O38" s="52"/>
      <c r="P38" s="52"/>
    </row>
    <row r="39" spans="1:16" ht="15" customHeight="1" x14ac:dyDescent="0.3">
      <c r="A39" s="53"/>
      <c r="B39" s="52"/>
      <c r="C39" s="52"/>
      <c r="D39" s="52"/>
      <c r="E39" s="52"/>
      <c r="F39" s="52"/>
      <c r="G39" s="52"/>
      <c r="H39" s="53"/>
      <c r="I39" s="52"/>
      <c r="J39" s="52"/>
      <c r="K39" s="52"/>
      <c r="L39" s="52"/>
      <c r="M39" s="52"/>
      <c r="N39" s="52"/>
      <c r="O39" s="52"/>
      <c r="P39" s="52"/>
    </row>
    <row r="40" spans="1:16" ht="15" customHeight="1" x14ac:dyDescent="0.3">
      <c r="A40" s="53"/>
      <c r="B40" s="52"/>
      <c r="C40" s="52"/>
      <c r="D40" s="52"/>
      <c r="E40" s="52"/>
      <c r="F40" s="52"/>
      <c r="G40" s="52"/>
      <c r="H40" s="53"/>
      <c r="I40" s="52"/>
      <c r="J40" s="52"/>
      <c r="K40" s="52"/>
      <c r="L40" s="52"/>
      <c r="M40" s="52"/>
      <c r="N40" s="52"/>
      <c r="O40" s="52"/>
      <c r="P40" s="52"/>
    </row>
    <row r="41" spans="1:16" ht="15" customHeight="1" x14ac:dyDescent="0.3">
      <c r="A41" s="53"/>
      <c r="B41" s="52"/>
      <c r="C41" s="52"/>
      <c r="D41" s="52"/>
      <c r="E41" s="52"/>
      <c r="F41" s="52"/>
      <c r="G41" s="52"/>
      <c r="H41" s="53"/>
      <c r="I41" s="52"/>
      <c r="J41" s="52"/>
      <c r="K41" s="52"/>
      <c r="L41" s="52"/>
      <c r="M41" s="52"/>
      <c r="N41" s="52"/>
      <c r="O41" s="52"/>
      <c r="P41" s="52" t="str">
        <f>SUBSTITUTE(SUBSTITUTE(SUBSTITUTE(O6," ","_"),",","_"),"-","_")</f>
        <v>Group_B___Implementation_and_Innovation</v>
      </c>
    </row>
    <row r="42" spans="1:16" ht="15" customHeight="1" x14ac:dyDescent="0.3">
      <c r="A42" s="53"/>
      <c r="B42" s="52"/>
      <c r="C42" s="52"/>
      <c r="D42" s="52"/>
      <c r="E42" s="52"/>
      <c r="F42" s="52"/>
      <c r="G42" s="52"/>
      <c r="H42" s="53"/>
      <c r="I42" s="52"/>
      <c r="J42" s="52"/>
      <c r="K42" s="52"/>
      <c r="L42" s="52"/>
      <c r="M42" s="52"/>
      <c r="N42" s="52"/>
      <c r="O42" s="52"/>
      <c r="P42" s="52"/>
    </row>
    <row r="43" spans="1:16" ht="15" customHeight="1" x14ac:dyDescent="0.3">
      <c r="A43" s="53"/>
      <c r="B43" s="52"/>
      <c r="C43" s="52"/>
      <c r="D43" s="52"/>
      <c r="E43" s="52"/>
      <c r="F43" s="52"/>
      <c r="G43" s="52"/>
      <c r="H43" s="53"/>
      <c r="I43" s="52"/>
      <c r="J43" s="52"/>
      <c r="K43" s="52"/>
      <c r="L43" s="52"/>
      <c r="M43" s="52"/>
      <c r="N43" s="52"/>
      <c r="O43" s="52"/>
      <c r="P43" s="52"/>
    </row>
    <row r="44" spans="1:16" ht="15" customHeight="1" x14ac:dyDescent="0.3">
      <c r="A44" s="53"/>
      <c r="B44" s="52"/>
      <c r="C44" s="52"/>
      <c r="D44" s="52"/>
      <c r="E44" s="52"/>
      <c r="F44" s="52"/>
      <c r="G44" s="52"/>
      <c r="H44" s="53"/>
      <c r="I44" s="52"/>
      <c r="J44" s="52"/>
      <c r="K44" s="52"/>
      <c r="L44" s="52"/>
      <c r="M44" s="52"/>
      <c r="N44" s="52"/>
      <c r="O44" s="52"/>
      <c r="P44" s="52"/>
    </row>
    <row r="45" spans="1:16" ht="15" customHeight="1" x14ac:dyDescent="0.3">
      <c r="A45" s="53"/>
      <c r="B45" s="52"/>
      <c r="C45" s="52"/>
      <c r="D45" s="52"/>
      <c r="E45" s="52"/>
      <c r="F45" s="52"/>
      <c r="G45" s="52"/>
      <c r="H45" s="53"/>
      <c r="I45" s="52"/>
      <c r="J45" s="52"/>
      <c r="K45" s="52"/>
      <c r="L45" s="52"/>
      <c r="M45" s="52"/>
      <c r="N45" s="52"/>
      <c r="O45" s="52"/>
      <c r="P45" s="52"/>
    </row>
    <row r="46" spans="1:16" ht="15" customHeight="1" x14ac:dyDescent="0.3">
      <c r="A46" s="53"/>
      <c r="B46" s="52"/>
      <c r="C46" s="52"/>
      <c r="D46" s="52"/>
      <c r="E46" s="52"/>
      <c r="F46" s="52"/>
      <c r="G46" s="52"/>
      <c r="H46" s="53"/>
      <c r="I46" s="52"/>
      <c r="J46" s="52"/>
      <c r="K46" s="52"/>
      <c r="L46" s="52"/>
      <c r="M46" s="52"/>
      <c r="N46" s="52"/>
      <c r="O46" s="52"/>
      <c r="P46" s="52"/>
    </row>
    <row r="47" spans="1:16" ht="15" customHeight="1" x14ac:dyDescent="0.3">
      <c r="A47" s="53"/>
      <c r="B47" s="52"/>
      <c r="C47" s="52"/>
      <c r="D47" s="52"/>
      <c r="E47" s="52"/>
      <c r="F47" s="52"/>
      <c r="G47" s="53"/>
      <c r="H47" s="52"/>
      <c r="I47" s="52"/>
      <c r="J47" s="52"/>
      <c r="K47" s="52"/>
      <c r="L47" s="52"/>
      <c r="M47" s="52"/>
      <c r="N47" s="52"/>
      <c r="O47" s="52"/>
      <c r="P47" s="52"/>
    </row>
    <row r="48" spans="1:16" ht="15" customHeight="1" x14ac:dyDescent="0.3">
      <c r="A48" s="53"/>
      <c r="B48" s="52"/>
      <c r="C48" s="52"/>
      <c r="D48" s="52"/>
      <c r="E48" s="52"/>
      <c r="F48" s="52"/>
      <c r="G48" s="52"/>
      <c r="H48" s="53"/>
      <c r="I48" s="52"/>
      <c r="J48" s="52"/>
      <c r="K48" s="52"/>
      <c r="L48" s="52"/>
      <c r="M48" s="52"/>
      <c r="N48" s="52"/>
      <c r="O48" s="52"/>
      <c r="P48" s="52"/>
    </row>
    <row r="49" spans="1:16" ht="15" customHeight="1" x14ac:dyDescent="0.3">
      <c r="A49" s="53"/>
      <c r="B49" s="52"/>
      <c r="C49" s="52"/>
      <c r="D49" s="52"/>
      <c r="E49" s="52"/>
      <c r="F49" s="52"/>
      <c r="G49" s="52"/>
      <c r="H49" s="53"/>
      <c r="I49" s="52"/>
      <c r="J49" s="52"/>
      <c r="K49" s="52"/>
      <c r="L49" s="52"/>
      <c r="M49" s="52"/>
      <c r="N49" s="52"/>
      <c r="O49" s="52"/>
      <c r="P49" s="52"/>
    </row>
    <row r="50" spans="1:16" ht="15" customHeight="1" x14ac:dyDescent="0.3">
      <c r="A50" s="53"/>
      <c r="B50" s="52"/>
      <c r="C50" s="52"/>
      <c r="D50" s="52"/>
      <c r="E50" s="52"/>
      <c r="F50" s="52"/>
      <c r="G50" s="52"/>
      <c r="H50" s="53"/>
      <c r="I50" s="52"/>
      <c r="J50" s="52"/>
      <c r="K50" s="52"/>
      <c r="L50" s="52"/>
      <c r="M50" s="52"/>
      <c r="N50" s="52"/>
      <c r="O50" s="52"/>
      <c r="P50" s="52"/>
    </row>
    <row r="51" spans="1:16" ht="15" customHeight="1" x14ac:dyDescent="0.3">
      <c r="A51" s="53"/>
      <c r="B51" s="52"/>
      <c r="C51" s="52"/>
      <c r="D51" s="52"/>
      <c r="E51" s="52"/>
      <c r="F51" s="52"/>
      <c r="G51" s="52"/>
      <c r="H51" s="53"/>
      <c r="I51" s="52"/>
      <c r="J51" s="52"/>
      <c r="K51" s="52"/>
      <c r="L51" s="52"/>
      <c r="M51" s="52"/>
      <c r="N51" s="52"/>
      <c r="O51" s="52"/>
      <c r="P51" s="52"/>
    </row>
    <row r="52" spans="1:16" ht="15" customHeight="1" x14ac:dyDescent="0.3">
      <c r="A52" s="53"/>
      <c r="B52" s="52"/>
      <c r="C52" s="52"/>
      <c r="D52" s="52"/>
      <c r="E52" s="52"/>
      <c r="F52" s="52"/>
      <c r="G52" s="52"/>
      <c r="H52" s="53"/>
      <c r="I52" s="52"/>
      <c r="J52" s="52"/>
      <c r="K52" s="52"/>
      <c r="L52" s="52"/>
      <c r="M52" s="52"/>
      <c r="N52" s="52"/>
      <c r="O52" s="52"/>
      <c r="P52" s="52"/>
    </row>
    <row r="53" spans="1:16" ht="15" customHeight="1" x14ac:dyDescent="0.3">
      <c r="A53" s="53"/>
      <c r="B53" s="52"/>
      <c r="C53" s="52"/>
      <c r="D53" s="52"/>
      <c r="E53" s="52"/>
      <c r="F53" s="52"/>
      <c r="G53" s="52"/>
      <c r="H53" s="53"/>
      <c r="I53" s="52"/>
      <c r="J53" s="52"/>
      <c r="K53" s="52"/>
      <c r="L53" s="52"/>
      <c r="M53" s="52"/>
      <c r="N53" s="52"/>
      <c r="O53" s="52"/>
      <c r="P53" s="52"/>
    </row>
    <row r="54" spans="1:16" ht="15" customHeight="1" x14ac:dyDescent="0.3">
      <c r="A54" s="53"/>
      <c r="B54" s="52"/>
      <c r="C54" s="52"/>
      <c r="D54" s="52"/>
      <c r="E54" s="52"/>
      <c r="F54" s="52"/>
      <c r="G54" s="52"/>
      <c r="H54" s="53"/>
      <c r="I54" s="52"/>
      <c r="J54" s="52"/>
      <c r="K54" s="52"/>
      <c r="L54" s="52"/>
      <c r="M54" s="52"/>
      <c r="N54" s="52"/>
      <c r="O54" s="52"/>
      <c r="P54" s="52"/>
    </row>
    <row r="55" spans="1:16" ht="15" customHeight="1" x14ac:dyDescent="0.3">
      <c r="A55" s="53"/>
      <c r="B55" s="52"/>
      <c r="C55" s="52"/>
      <c r="D55" s="52"/>
      <c r="E55" s="52"/>
      <c r="F55" s="52"/>
      <c r="G55" s="52"/>
      <c r="H55" s="53"/>
      <c r="I55" s="52"/>
      <c r="J55" s="52"/>
      <c r="K55" s="52"/>
      <c r="L55" s="52"/>
      <c r="M55" s="52"/>
      <c r="N55" s="52"/>
      <c r="O55" s="52"/>
      <c r="P55" s="52"/>
    </row>
    <row r="56" spans="1:16" ht="15" customHeight="1" x14ac:dyDescent="0.3">
      <c r="A56" s="53"/>
      <c r="B56" s="52"/>
      <c r="C56" s="52"/>
      <c r="D56" s="52"/>
      <c r="E56" s="52"/>
      <c r="F56" s="52"/>
      <c r="G56" s="52"/>
      <c r="H56" s="53"/>
      <c r="I56" s="52"/>
      <c r="J56" s="52"/>
      <c r="K56" s="52"/>
      <c r="L56" s="52"/>
      <c r="M56" s="52"/>
      <c r="N56" s="52"/>
      <c r="O56" s="52"/>
      <c r="P56" s="52"/>
    </row>
    <row r="57" spans="1:16" ht="15" customHeight="1" x14ac:dyDescent="0.3">
      <c r="A57" s="53"/>
      <c r="B57" s="52"/>
      <c r="C57" s="52"/>
      <c r="D57" s="52"/>
      <c r="E57" s="52"/>
      <c r="F57" s="52"/>
      <c r="G57" s="52"/>
      <c r="H57" s="53"/>
      <c r="I57" s="52"/>
      <c r="J57" s="52"/>
      <c r="K57" s="52"/>
      <c r="L57" s="52"/>
      <c r="M57" s="52"/>
      <c r="N57" s="52"/>
      <c r="O57" s="52"/>
      <c r="P57" s="52"/>
    </row>
    <row r="58" spans="1:16" ht="15" customHeight="1" x14ac:dyDescent="0.3">
      <c r="A58" s="53"/>
      <c r="B58" s="52"/>
      <c r="C58" s="52"/>
      <c r="D58" s="52"/>
      <c r="E58" s="52"/>
      <c r="F58" s="52"/>
      <c r="G58" s="52"/>
      <c r="H58" s="53"/>
      <c r="I58" s="52"/>
      <c r="J58" s="52"/>
      <c r="K58" s="52"/>
      <c r="L58" s="52"/>
      <c r="M58" s="52"/>
      <c r="N58" s="52"/>
      <c r="O58" s="52"/>
      <c r="P58" s="52"/>
    </row>
    <row r="59" spans="1:16" ht="15" customHeight="1" x14ac:dyDescent="0.3">
      <c r="A59" s="53"/>
      <c r="B59" s="52"/>
      <c r="C59" s="52"/>
      <c r="D59" s="52"/>
      <c r="E59" s="52"/>
      <c r="F59" s="52"/>
      <c r="G59" s="52"/>
      <c r="H59" s="53"/>
      <c r="I59" s="52"/>
      <c r="J59" s="52"/>
      <c r="K59" s="52"/>
      <c r="L59" s="52"/>
      <c r="M59" s="52"/>
      <c r="N59" s="52"/>
      <c r="O59" s="52"/>
      <c r="P59" s="52"/>
    </row>
    <row r="60" spans="1:16" ht="15" customHeight="1" x14ac:dyDescent="0.3">
      <c r="A60" s="53"/>
      <c r="B60" s="52"/>
      <c r="C60" s="52"/>
      <c r="D60" s="52"/>
      <c r="E60" s="52"/>
      <c r="F60" s="52"/>
      <c r="G60" s="52"/>
      <c r="H60" s="53"/>
      <c r="I60" s="52"/>
      <c r="J60" s="52"/>
      <c r="K60" s="52"/>
      <c r="L60" s="52"/>
      <c r="M60" s="52"/>
      <c r="N60" s="52"/>
      <c r="O60" s="52"/>
      <c r="P60" s="52"/>
    </row>
    <row r="61" spans="1:16" ht="15" customHeight="1" x14ac:dyDescent="0.3">
      <c r="A61" s="53"/>
      <c r="B61" s="52"/>
      <c r="C61" s="52"/>
      <c r="D61" s="52"/>
      <c r="E61" s="52"/>
      <c r="F61" s="52"/>
      <c r="G61" s="52"/>
      <c r="H61" s="53"/>
      <c r="I61" s="52"/>
      <c r="J61" s="52"/>
      <c r="K61" s="52"/>
      <c r="L61" s="52"/>
      <c r="M61" s="52"/>
      <c r="N61" s="52"/>
      <c r="O61" s="52"/>
      <c r="P61" s="52"/>
    </row>
    <row r="62" spans="1:16" ht="15" customHeight="1" x14ac:dyDescent="0.3">
      <c r="A62" s="53"/>
      <c r="B62" s="52"/>
      <c r="C62" s="52"/>
      <c r="D62" s="52"/>
      <c r="E62" s="52"/>
      <c r="F62" s="52"/>
      <c r="G62" s="52"/>
      <c r="H62" s="53"/>
      <c r="I62" s="52"/>
      <c r="J62" s="52"/>
      <c r="K62" s="52"/>
      <c r="L62" s="52"/>
      <c r="M62" s="52"/>
      <c r="N62" s="52"/>
      <c r="O62" s="52"/>
      <c r="P62" s="52"/>
    </row>
    <row r="63" spans="1:16" ht="15" customHeight="1" x14ac:dyDescent="0.3">
      <c r="A63" s="53"/>
      <c r="B63" s="52"/>
      <c r="C63" s="52"/>
      <c r="D63" s="52"/>
      <c r="E63" s="52"/>
      <c r="F63" s="52"/>
      <c r="G63" s="52"/>
      <c r="H63" s="53"/>
      <c r="I63" s="52"/>
      <c r="J63" s="52"/>
      <c r="K63" s="52"/>
      <c r="L63" s="52"/>
      <c r="M63" s="52"/>
      <c r="N63" s="52"/>
      <c r="O63" s="52"/>
      <c r="P63" s="52"/>
    </row>
    <row r="64" spans="1:16" ht="15" customHeight="1" x14ac:dyDescent="0.3">
      <c r="A64" s="53"/>
      <c r="B64" s="52"/>
      <c r="C64" s="52"/>
      <c r="D64" s="52"/>
      <c r="E64" s="52"/>
      <c r="F64" s="52"/>
      <c r="G64" s="52"/>
      <c r="H64" s="53"/>
      <c r="I64" s="52"/>
      <c r="J64" s="52"/>
      <c r="K64" s="52"/>
      <c r="L64" s="52"/>
      <c r="M64" s="52"/>
      <c r="N64" s="52"/>
      <c r="O64" s="52"/>
      <c r="P64" s="52"/>
    </row>
    <row r="65" spans="1:16" ht="15" customHeight="1" x14ac:dyDescent="0.3">
      <c r="A65" s="53"/>
      <c r="B65" s="52"/>
      <c r="C65" s="52"/>
      <c r="D65" s="52"/>
      <c r="E65" s="52"/>
      <c r="F65" s="52"/>
      <c r="G65" s="52"/>
      <c r="H65" s="53"/>
      <c r="I65" s="52"/>
      <c r="J65" s="52"/>
      <c r="K65" s="52"/>
      <c r="L65" s="52"/>
      <c r="M65" s="52"/>
      <c r="N65" s="52"/>
      <c r="O65" s="52"/>
      <c r="P65" s="52"/>
    </row>
    <row r="66" spans="1:16" ht="15" customHeight="1" x14ac:dyDescent="0.3">
      <c r="A66" s="53"/>
      <c r="B66" s="52"/>
      <c r="C66" s="52"/>
      <c r="D66" s="52"/>
      <c r="E66" s="52"/>
      <c r="F66" s="52"/>
      <c r="G66" s="52"/>
      <c r="H66" s="53"/>
      <c r="I66" s="52"/>
      <c r="J66" s="52"/>
      <c r="K66" s="52"/>
      <c r="L66" s="52"/>
      <c r="M66" s="52"/>
      <c r="N66" s="52"/>
      <c r="O66" s="52"/>
      <c r="P66" s="52"/>
    </row>
    <row r="67" spans="1:16" ht="15" customHeight="1" x14ac:dyDescent="0.3">
      <c r="A67" s="53"/>
      <c r="B67" s="52"/>
      <c r="C67" s="52"/>
      <c r="D67" s="52"/>
      <c r="E67" s="52"/>
      <c r="F67" s="52"/>
      <c r="G67" s="52"/>
      <c r="H67" s="53"/>
      <c r="I67" s="52"/>
      <c r="J67" s="52"/>
      <c r="K67" s="52"/>
      <c r="L67" s="52"/>
      <c r="M67" s="52"/>
      <c r="N67" s="52"/>
      <c r="O67" s="52"/>
      <c r="P67" s="52"/>
    </row>
    <row r="68" spans="1:16" ht="15" customHeight="1" x14ac:dyDescent="0.3">
      <c r="A68" s="53"/>
      <c r="B68" s="52"/>
      <c r="C68" s="52"/>
      <c r="D68" s="52"/>
      <c r="E68" s="52"/>
      <c r="F68" s="52"/>
      <c r="G68" s="52"/>
      <c r="H68" s="53"/>
      <c r="I68" s="52"/>
      <c r="J68" s="52"/>
      <c r="K68" s="52"/>
      <c r="L68" s="52"/>
      <c r="M68" s="52"/>
      <c r="N68" s="52"/>
      <c r="O68" s="52"/>
      <c r="P68" s="52"/>
    </row>
    <row r="69" spans="1:16" ht="15" customHeight="1" x14ac:dyDescent="0.3">
      <c r="A69" s="53"/>
      <c r="B69" s="52"/>
      <c r="C69" s="52"/>
      <c r="D69" s="52"/>
      <c r="E69" s="52"/>
      <c r="F69" s="52"/>
      <c r="G69" s="52"/>
      <c r="H69" s="53"/>
      <c r="I69" s="52"/>
      <c r="J69" s="52"/>
      <c r="K69" s="52"/>
      <c r="L69" s="52"/>
      <c r="M69" s="52"/>
      <c r="N69" s="52"/>
      <c r="O69" s="52"/>
      <c r="P69" s="52"/>
    </row>
    <row r="70" spans="1:16" ht="15" customHeight="1" x14ac:dyDescent="0.3">
      <c r="A70" s="53"/>
      <c r="B70" s="52"/>
      <c r="C70" s="52"/>
      <c r="D70" s="52"/>
      <c r="E70" s="52"/>
      <c r="F70" s="52"/>
      <c r="G70" s="52"/>
      <c r="H70" s="53"/>
      <c r="I70" s="52"/>
      <c r="J70" s="52"/>
      <c r="K70" s="52"/>
      <c r="L70" s="52"/>
      <c r="M70" s="52"/>
      <c r="N70" s="52"/>
      <c r="O70" s="52"/>
      <c r="P70" s="52"/>
    </row>
    <row r="71" spans="1:16" ht="15" customHeight="1" x14ac:dyDescent="0.3">
      <c r="A71" s="53"/>
      <c r="B71" s="52"/>
      <c r="C71" s="52"/>
      <c r="D71" s="52"/>
      <c r="E71" s="52"/>
      <c r="F71" s="52"/>
      <c r="G71" s="52"/>
      <c r="H71" s="53"/>
      <c r="I71" s="52"/>
      <c r="J71" s="52"/>
      <c r="K71" s="52"/>
      <c r="L71" s="52"/>
      <c r="M71" s="52"/>
      <c r="N71" s="52"/>
      <c r="O71" s="52"/>
      <c r="P71" s="52"/>
    </row>
    <row r="72" spans="1:16" ht="15" customHeight="1" x14ac:dyDescent="0.3">
      <c r="A72" s="53"/>
      <c r="B72" s="52"/>
      <c r="C72" s="52"/>
      <c r="D72" s="52"/>
      <c r="E72" s="52"/>
      <c r="F72" s="52"/>
      <c r="G72" s="52"/>
      <c r="H72" s="53"/>
      <c r="I72" s="52"/>
      <c r="J72" s="52"/>
      <c r="K72" s="52"/>
      <c r="L72" s="52"/>
      <c r="M72" s="52"/>
      <c r="N72" s="52"/>
      <c r="O72" s="52"/>
      <c r="P72" s="52"/>
    </row>
    <row r="73" spans="1:16" ht="15" customHeight="1" x14ac:dyDescent="0.3">
      <c r="A73" s="53"/>
      <c r="B73" s="52"/>
      <c r="C73" s="52"/>
      <c r="D73" s="52"/>
      <c r="E73" s="52"/>
      <c r="F73" s="52"/>
      <c r="G73" s="52"/>
      <c r="H73" s="53"/>
      <c r="I73" s="52"/>
      <c r="J73" s="52"/>
      <c r="K73" s="52"/>
      <c r="L73" s="52"/>
      <c r="M73" s="52"/>
      <c r="N73" s="52"/>
      <c r="O73" s="52"/>
      <c r="P73" s="52"/>
    </row>
    <row r="74" spans="1:16" ht="15" customHeight="1" x14ac:dyDescent="0.3">
      <c r="A74" s="53"/>
      <c r="B74" s="52"/>
      <c r="C74" s="52"/>
      <c r="D74" s="52"/>
      <c r="E74" s="52"/>
      <c r="F74" s="52"/>
      <c r="G74" s="52"/>
      <c r="H74" s="53"/>
      <c r="I74" s="52"/>
      <c r="J74" s="52"/>
      <c r="K74" s="52"/>
      <c r="L74" s="52"/>
      <c r="M74" s="52"/>
      <c r="N74" s="52"/>
      <c r="O74" s="52"/>
      <c r="P74" s="52"/>
    </row>
    <row r="75" spans="1:16" ht="15" customHeight="1" x14ac:dyDescent="0.3">
      <c r="A75" s="53"/>
      <c r="B75" s="52"/>
      <c r="C75" s="52"/>
      <c r="D75" s="52"/>
      <c r="E75" s="52"/>
      <c r="F75" s="52"/>
      <c r="G75" s="52"/>
      <c r="H75" s="53"/>
      <c r="I75" s="52"/>
      <c r="J75" s="52"/>
      <c r="K75" s="52"/>
      <c r="L75" s="52"/>
      <c r="M75" s="52"/>
      <c r="N75" s="52"/>
      <c r="O75" s="52"/>
      <c r="P75" s="52"/>
    </row>
    <row r="76" spans="1:16" ht="15" customHeight="1" x14ac:dyDescent="0.3">
      <c r="A76" s="53"/>
      <c r="B76" s="52"/>
      <c r="C76" s="52"/>
      <c r="D76" s="52"/>
      <c r="E76" s="52"/>
      <c r="F76" s="52"/>
      <c r="G76" s="52"/>
      <c r="H76" s="53"/>
      <c r="I76" s="52"/>
      <c r="J76" s="52"/>
      <c r="K76" s="52"/>
      <c r="L76" s="52"/>
      <c r="M76" s="52"/>
      <c r="N76" s="52"/>
      <c r="O76" s="52"/>
      <c r="P76" s="52"/>
    </row>
    <row r="77" spans="1:16" ht="15" customHeight="1" x14ac:dyDescent="0.3">
      <c r="A77" s="53"/>
      <c r="B77" s="52"/>
      <c r="C77" s="52"/>
      <c r="D77" s="52"/>
      <c r="E77" s="52"/>
      <c r="F77" s="52"/>
      <c r="G77" s="52"/>
      <c r="H77" s="53"/>
      <c r="I77" s="52"/>
      <c r="J77" s="52"/>
      <c r="K77" s="52"/>
      <c r="L77" s="52"/>
      <c r="M77" s="52"/>
      <c r="N77" s="52"/>
      <c r="O77" s="52"/>
      <c r="P77" s="52"/>
    </row>
    <row r="78" spans="1:16" ht="15" customHeight="1" x14ac:dyDescent="0.3">
      <c r="A78" s="53"/>
      <c r="B78" s="52"/>
      <c r="C78" s="52"/>
      <c r="D78" s="52"/>
      <c r="E78" s="52"/>
      <c r="F78" s="52"/>
      <c r="G78" s="52"/>
      <c r="H78" s="53"/>
      <c r="I78" s="52"/>
      <c r="J78" s="52"/>
      <c r="K78" s="52"/>
      <c r="L78" s="52"/>
      <c r="M78" s="52"/>
      <c r="N78" s="52"/>
      <c r="O78" s="52"/>
      <c r="P78" s="52"/>
    </row>
    <row r="79" spans="1:16" ht="15" customHeight="1" x14ac:dyDescent="0.3">
      <c r="A79" s="53"/>
      <c r="B79" s="52"/>
      <c r="C79" s="52"/>
      <c r="D79" s="52"/>
      <c r="E79" s="52"/>
      <c r="F79" s="52"/>
      <c r="G79" s="52"/>
      <c r="H79" s="53"/>
      <c r="I79" s="52"/>
      <c r="J79" s="52"/>
      <c r="K79" s="52"/>
      <c r="L79" s="52"/>
      <c r="M79" s="52"/>
      <c r="N79" s="52"/>
      <c r="O79" s="52"/>
      <c r="P79" s="52"/>
    </row>
    <row r="80" spans="1:16" ht="15" customHeight="1" x14ac:dyDescent="0.3">
      <c r="A80" s="53"/>
      <c r="B80" s="52"/>
      <c r="C80" s="52"/>
      <c r="D80" s="52"/>
      <c r="E80" s="52"/>
      <c r="F80" s="52"/>
      <c r="G80" s="52"/>
      <c r="H80" s="53"/>
      <c r="I80" s="52"/>
      <c r="J80" s="52"/>
      <c r="K80" s="52"/>
      <c r="L80" s="52"/>
      <c r="M80" s="52"/>
      <c r="N80" s="52"/>
      <c r="O80" s="52"/>
      <c r="P80" s="52"/>
    </row>
    <row r="81" spans="1:16" ht="15" customHeight="1" x14ac:dyDescent="0.3">
      <c r="A81" s="53"/>
      <c r="B81" s="52"/>
      <c r="C81" s="52"/>
      <c r="D81" s="52"/>
      <c r="E81" s="52"/>
      <c r="F81" s="52"/>
      <c r="G81" s="52"/>
      <c r="H81" s="53"/>
      <c r="I81" s="52"/>
      <c r="J81" s="52"/>
      <c r="K81" s="52"/>
      <c r="L81" s="52"/>
      <c r="M81" s="52"/>
      <c r="N81" s="52"/>
      <c r="O81" s="52"/>
      <c r="P81" s="52"/>
    </row>
    <row r="82" spans="1:16" ht="15" customHeight="1" x14ac:dyDescent="0.3">
      <c r="A82" s="53"/>
      <c r="B82" s="52"/>
      <c r="C82" s="52"/>
      <c r="D82" s="52"/>
      <c r="E82" s="52"/>
      <c r="F82" s="52"/>
      <c r="G82" s="52"/>
      <c r="H82" s="53"/>
      <c r="I82" s="52"/>
      <c r="J82" s="52"/>
      <c r="K82" s="52"/>
      <c r="L82" s="52"/>
      <c r="M82" s="52"/>
      <c r="N82" s="52"/>
      <c r="O82" s="52"/>
      <c r="P82" s="52"/>
    </row>
    <row r="83" spans="1:16" ht="15" customHeight="1" x14ac:dyDescent="0.3">
      <c r="A83" s="53"/>
      <c r="B83" s="52"/>
      <c r="C83" s="52"/>
      <c r="D83" s="52"/>
      <c r="E83" s="52"/>
      <c r="F83" s="52"/>
      <c r="G83" s="52"/>
      <c r="H83" s="53"/>
      <c r="I83" s="52"/>
      <c r="J83" s="52"/>
      <c r="K83" s="52"/>
      <c r="L83" s="52"/>
      <c r="M83" s="52"/>
      <c r="N83" s="52"/>
      <c r="O83" s="52"/>
      <c r="P83" s="52"/>
    </row>
    <row r="84" spans="1:16" ht="15" customHeight="1" x14ac:dyDescent="0.3">
      <c r="A84" s="53"/>
      <c r="B84" s="52"/>
      <c r="C84" s="52"/>
      <c r="D84" s="52"/>
      <c r="E84" s="52"/>
      <c r="F84" s="52"/>
      <c r="G84" s="52"/>
      <c r="H84" s="53"/>
      <c r="I84" s="52"/>
      <c r="J84" s="52"/>
      <c r="K84" s="52"/>
      <c r="L84" s="52"/>
      <c r="M84" s="52"/>
      <c r="N84" s="52"/>
      <c r="O84" s="52"/>
      <c r="P84" s="52"/>
    </row>
    <row r="85" spans="1:16" ht="15" customHeight="1" x14ac:dyDescent="0.3">
      <c r="A85" s="53"/>
      <c r="B85" s="52"/>
      <c r="C85" s="52"/>
      <c r="D85" s="52"/>
      <c r="E85" s="52"/>
      <c r="F85" s="52"/>
      <c r="G85" s="52"/>
      <c r="H85" s="53"/>
      <c r="I85" s="52"/>
      <c r="J85" s="52"/>
      <c r="K85" s="52"/>
      <c r="L85" s="52"/>
      <c r="M85" s="52"/>
      <c r="N85" s="52"/>
      <c r="O85" s="52"/>
      <c r="P85" s="52"/>
    </row>
    <row r="86" spans="1:16" ht="15" customHeight="1" x14ac:dyDescent="0.3">
      <c r="A86" s="53"/>
      <c r="B86" s="52"/>
      <c r="C86" s="52"/>
      <c r="D86" s="52"/>
      <c r="E86" s="52"/>
      <c r="F86" s="52"/>
      <c r="G86" s="52"/>
      <c r="H86" s="53"/>
      <c r="I86" s="52"/>
      <c r="J86" s="52"/>
      <c r="K86" s="52"/>
      <c r="L86" s="52"/>
      <c r="M86" s="52"/>
      <c r="N86" s="52"/>
      <c r="O86" s="52"/>
      <c r="P86" s="52"/>
    </row>
    <row r="87" spans="1:16" ht="15" customHeight="1" x14ac:dyDescent="0.3">
      <c r="A87" s="53"/>
      <c r="B87" s="52"/>
      <c r="C87" s="52"/>
      <c r="D87" s="52"/>
      <c r="E87" s="52"/>
      <c r="F87" s="52"/>
      <c r="G87" s="52"/>
      <c r="H87" s="53"/>
      <c r="I87" s="52"/>
      <c r="J87" s="52"/>
      <c r="K87" s="52"/>
      <c r="L87" s="52"/>
      <c r="M87" s="52"/>
      <c r="N87" s="52"/>
      <c r="O87" s="52"/>
      <c r="P87" s="52"/>
    </row>
    <row r="88" spans="1:16" ht="15" customHeight="1" x14ac:dyDescent="0.3">
      <c r="A88" s="53"/>
      <c r="B88" s="52"/>
      <c r="C88" s="52"/>
      <c r="D88" s="52"/>
      <c r="E88" s="52"/>
      <c r="F88" s="52"/>
      <c r="G88" s="52"/>
      <c r="H88" s="53"/>
      <c r="I88" s="52"/>
      <c r="J88" s="52"/>
      <c r="K88" s="52"/>
      <c r="L88" s="52"/>
      <c r="M88" s="52"/>
      <c r="N88" s="52"/>
      <c r="O88" s="52"/>
      <c r="P88" s="52"/>
    </row>
    <row r="89" spans="1:16" ht="15" customHeight="1" x14ac:dyDescent="0.3">
      <c r="A89" s="53"/>
      <c r="B89" s="52"/>
      <c r="C89" s="52"/>
      <c r="D89" s="52"/>
      <c r="E89" s="52"/>
      <c r="F89" s="52"/>
      <c r="G89" s="52"/>
      <c r="H89" s="53"/>
      <c r="I89" s="52"/>
      <c r="J89" s="52"/>
      <c r="K89" s="52"/>
      <c r="L89" s="52"/>
      <c r="M89" s="52"/>
      <c r="N89" s="52"/>
      <c r="O89" s="52"/>
      <c r="P89" s="52"/>
    </row>
    <row r="90" spans="1:16" ht="15" customHeight="1" x14ac:dyDescent="0.3">
      <c r="A90" s="53"/>
      <c r="B90" s="52"/>
      <c r="C90" s="52"/>
      <c r="D90" s="52"/>
      <c r="E90" s="52"/>
      <c r="F90" s="52"/>
      <c r="G90" s="52"/>
      <c r="H90" s="53"/>
      <c r="I90" s="52"/>
      <c r="J90" s="52"/>
      <c r="K90" s="52"/>
      <c r="L90" s="52"/>
      <c r="M90" s="52"/>
      <c r="N90" s="52"/>
      <c r="O90" s="52"/>
      <c r="P90" s="52"/>
    </row>
    <row r="91" spans="1:16" ht="15" customHeight="1" x14ac:dyDescent="0.3">
      <c r="A91" s="53"/>
      <c r="B91" s="52"/>
      <c r="C91" s="52"/>
      <c r="D91" s="52"/>
      <c r="E91" s="52"/>
      <c r="F91" s="52"/>
      <c r="G91" s="52"/>
      <c r="H91" s="53"/>
      <c r="I91" s="52"/>
      <c r="J91" s="52"/>
      <c r="K91" s="52"/>
      <c r="L91" s="52"/>
      <c r="M91" s="52"/>
      <c r="N91" s="52"/>
      <c r="O91" s="52"/>
      <c r="P91" s="52"/>
    </row>
    <row r="92" spans="1:16" ht="15" customHeight="1" x14ac:dyDescent="0.3">
      <c r="A92" s="52"/>
      <c r="B92" s="52"/>
      <c r="C92" s="52"/>
      <c r="D92" s="52"/>
      <c r="E92" s="52"/>
      <c r="F92" s="52"/>
      <c r="G92" s="52"/>
      <c r="H92" s="53"/>
      <c r="I92" s="52"/>
      <c r="J92" s="52"/>
      <c r="K92" s="52"/>
      <c r="L92" s="52"/>
      <c r="M92" s="52"/>
      <c r="N92" s="52"/>
      <c r="O92" s="52"/>
      <c r="P92" s="52"/>
    </row>
    <row r="93" spans="1:16" ht="15" customHeight="1" x14ac:dyDescent="0.3">
      <c r="A93" s="52"/>
      <c r="B93" s="52"/>
      <c r="C93" s="52"/>
      <c r="D93" s="52"/>
      <c r="E93" s="52"/>
      <c r="F93" s="52"/>
      <c r="G93" s="52"/>
      <c r="H93" s="53"/>
      <c r="I93" s="52"/>
      <c r="J93" s="52"/>
      <c r="K93" s="52"/>
      <c r="L93" s="52"/>
      <c r="M93" s="52"/>
      <c r="N93" s="52"/>
      <c r="O93" s="52"/>
      <c r="P93" s="52"/>
    </row>
    <row r="94" spans="1:16" ht="15" customHeight="1" x14ac:dyDescent="0.3">
      <c r="A94" s="52"/>
      <c r="B94" s="52"/>
      <c r="C94" s="52"/>
      <c r="D94" s="52"/>
      <c r="E94" s="52"/>
      <c r="F94" s="52"/>
      <c r="G94" s="52"/>
      <c r="H94" s="53"/>
      <c r="I94" s="52"/>
      <c r="J94" s="52"/>
      <c r="K94" s="52"/>
      <c r="L94" s="52"/>
      <c r="M94" s="52"/>
      <c r="N94" s="52"/>
      <c r="O94" s="52"/>
      <c r="P94" s="52"/>
    </row>
    <row r="95" spans="1:16" ht="15" customHeight="1" x14ac:dyDescent="0.3">
      <c r="A95" s="52"/>
      <c r="B95" s="52"/>
      <c r="C95" s="52"/>
      <c r="D95" s="52"/>
      <c r="E95" s="52"/>
      <c r="F95" s="52"/>
      <c r="G95" s="52"/>
      <c r="H95" s="53"/>
      <c r="I95" s="52"/>
      <c r="J95" s="52"/>
      <c r="K95" s="52"/>
      <c r="L95" s="52"/>
      <c r="M95" s="52"/>
      <c r="N95" s="52"/>
      <c r="O95" s="52"/>
      <c r="P95" s="52"/>
    </row>
    <row r="96" spans="1:16" ht="15" customHeight="1" x14ac:dyDescent="0.3">
      <c r="A96" s="52"/>
      <c r="B96" s="52"/>
      <c r="C96" s="52"/>
      <c r="D96" s="52"/>
      <c r="E96" s="52"/>
      <c r="F96" s="52"/>
      <c r="G96" s="52"/>
      <c r="H96" s="53"/>
      <c r="I96" s="52"/>
      <c r="J96" s="52"/>
      <c r="K96" s="52"/>
      <c r="L96" s="52"/>
      <c r="M96" s="52"/>
      <c r="N96" s="52"/>
      <c r="O96" s="52"/>
      <c r="P96" s="52"/>
    </row>
    <row r="97" spans="1:16" ht="15" customHeight="1" x14ac:dyDescent="0.3">
      <c r="A97" s="52"/>
      <c r="B97" s="52"/>
      <c r="C97" s="52"/>
      <c r="D97" s="52"/>
      <c r="E97" s="52"/>
      <c r="F97" s="52"/>
      <c r="G97" s="52"/>
      <c r="H97" s="53"/>
      <c r="I97" s="52"/>
      <c r="J97" s="52"/>
      <c r="K97" s="52"/>
      <c r="L97" s="52"/>
      <c r="M97" s="52"/>
      <c r="N97" s="52"/>
      <c r="O97" s="52"/>
      <c r="P97" s="52"/>
    </row>
    <row r="98" spans="1:16" ht="15" customHeight="1" x14ac:dyDescent="0.3">
      <c r="A98" s="52"/>
      <c r="B98" s="52"/>
      <c r="C98" s="52"/>
      <c r="D98" s="52"/>
      <c r="E98" s="52"/>
      <c r="F98" s="52"/>
      <c r="G98" s="52"/>
      <c r="H98" s="53"/>
      <c r="I98" s="52"/>
      <c r="J98" s="52"/>
      <c r="K98" s="52"/>
      <c r="L98" s="52"/>
      <c r="M98" s="52"/>
      <c r="N98" s="52"/>
      <c r="O98" s="52"/>
      <c r="P98" s="52"/>
    </row>
    <row r="99" spans="1:16" ht="15" customHeight="1" x14ac:dyDescent="0.3">
      <c r="A99" s="52"/>
      <c r="B99" s="52"/>
      <c r="C99" s="52"/>
      <c r="D99" s="52"/>
      <c r="E99" s="52"/>
      <c r="F99" s="52"/>
      <c r="G99" s="52"/>
      <c r="H99" s="53"/>
      <c r="I99" s="52"/>
      <c r="J99" s="52"/>
      <c r="K99" s="52"/>
      <c r="L99" s="52"/>
      <c r="M99" s="52"/>
      <c r="N99" s="52"/>
      <c r="O99" s="52"/>
      <c r="P99" s="52"/>
    </row>
    <row r="100" spans="1:16" ht="15" customHeight="1" x14ac:dyDescent="0.3">
      <c r="A100" s="52"/>
      <c r="B100" s="52"/>
      <c r="C100" s="52"/>
      <c r="D100" s="52"/>
      <c r="E100" s="52"/>
      <c r="F100" s="52"/>
      <c r="G100" s="52"/>
      <c r="H100" s="53"/>
      <c r="I100" s="52"/>
      <c r="J100" s="52"/>
      <c r="K100" s="52"/>
      <c r="L100" s="52"/>
      <c r="M100" s="52"/>
      <c r="N100" s="52"/>
      <c r="O100" s="52"/>
      <c r="P100" s="52"/>
    </row>
    <row r="101" spans="1:16" ht="15" customHeight="1" x14ac:dyDescent="0.3">
      <c r="A101" s="52"/>
      <c r="B101" s="52"/>
      <c r="C101" s="52"/>
      <c r="D101" s="52"/>
      <c r="E101" s="52"/>
      <c r="F101" s="52"/>
      <c r="G101" s="52"/>
      <c r="H101" s="53"/>
      <c r="I101" s="52"/>
      <c r="J101" s="52"/>
      <c r="K101" s="52"/>
      <c r="L101" s="52"/>
      <c r="M101" s="52"/>
      <c r="N101" s="52"/>
      <c r="O101" s="52"/>
      <c r="P101" s="52"/>
    </row>
    <row r="102" spans="1:16" ht="15" customHeight="1" x14ac:dyDescent="0.3">
      <c r="A102" s="52"/>
      <c r="B102" s="52"/>
      <c r="C102" s="52"/>
      <c r="D102" s="52"/>
      <c r="E102" s="52"/>
      <c r="F102" s="52"/>
      <c r="G102" s="52"/>
      <c r="H102" s="53"/>
      <c r="I102" s="52"/>
      <c r="J102" s="52"/>
      <c r="K102" s="52"/>
      <c r="L102" s="52"/>
      <c r="M102" s="52"/>
      <c r="N102" s="52"/>
      <c r="O102" s="52"/>
      <c r="P102" s="52"/>
    </row>
    <row r="103" spans="1:16" ht="15" customHeight="1" x14ac:dyDescent="0.3">
      <c r="A103" s="52"/>
      <c r="B103" s="52"/>
      <c r="C103" s="52"/>
      <c r="D103" s="52"/>
      <c r="E103" s="52"/>
      <c r="F103" s="52"/>
      <c r="G103" s="52"/>
      <c r="H103" s="53"/>
      <c r="I103" s="52"/>
      <c r="J103" s="52"/>
      <c r="K103" s="52"/>
      <c r="L103" s="52"/>
      <c r="M103" s="52"/>
      <c r="N103" s="52"/>
      <c r="O103" s="52"/>
      <c r="P103" s="52"/>
    </row>
    <row r="104" spans="1:16" ht="15" customHeight="1" x14ac:dyDescent="0.3">
      <c r="A104" s="52"/>
      <c r="B104" s="52"/>
      <c r="C104" s="52"/>
      <c r="D104" s="52"/>
      <c r="E104" s="52"/>
      <c r="F104" s="52"/>
      <c r="G104" s="52"/>
      <c r="H104" s="53"/>
      <c r="I104" s="52"/>
      <c r="J104" s="52"/>
      <c r="K104" s="52"/>
      <c r="L104" s="52"/>
      <c r="M104" s="52"/>
      <c r="N104" s="52"/>
      <c r="O104" s="52"/>
      <c r="P104" s="52"/>
    </row>
    <row r="105" spans="1:16" ht="15" customHeight="1" x14ac:dyDescent="0.3">
      <c r="A105" s="52"/>
      <c r="B105" s="52"/>
      <c r="C105" s="52"/>
      <c r="D105" s="52"/>
      <c r="E105" s="52"/>
      <c r="F105" s="52"/>
      <c r="G105" s="52"/>
      <c r="H105" s="53"/>
      <c r="I105" s="52"/>
      <c r="J105" s="52"/>
      <c r="K105" s="52"/>
      <c r="L105" s="52"/>
      <c r="M105" s="52"/>
      <c r="N105" s="52"/>
      <c r="O105" s="52"/>
      <c r="P105" s="52"/>
    </row>
    <row r="106" spans="1:16" ht="15" customHeight="1" x14ac:dyDescent="0.3">
      <c r="A106" s="52"/>
      <c r="B106" s="52"/>
      <c r="C106" s="52"/>
      <c r="D106" s="52"/>
      <c r="E106" s="52"/>
      <c r="F106" s="52"/>
      <c r="G106" s="52"/>
      <c r="H106" s="53"/>
      <c r="I106" s="52"/>
      <c r="J106" s="52"/>
      <c r="K106" s="52"/>
      <c r="L106" s="52"/>
      <c r="M106" s="52"/>
      <c r="N106" s="52"/>
      <c r="O106" s="52"/>
      <c r="P106" s="52"/>
    </row>
    <row r="107" spans="1:16" ht="15" customHeight="1" x14ac:dyDescent="0.3">
      <c r="A107" s="52"/>
      <c r="B107" s="52"/>
      <c r="C107" s="52"/>
      <c r="D107" s="52"/>
      <c r="E107" s="52"/>
      <c r="F107" s="52"/>
      <c r="G107" s="52"/>
      <c r="H107" s="53"/>
      <c r="I107" s="52"/>
      <c r="J107" s="52"/>
      <c r="K107" s="52"/>
      <c r="L107" s="52"/>
      <c r="M107" s="52"/>
      <c r="N107" s="52"/>
      <c r="O107" s="52"/>
      <c r="P107" s="52"/>
    </row>
    <row r="108" spans="1:16" ht="15" customHeight="1" x14ac:dyDescent="0.3">
      <c r="A108" s="52"/>
      <c r="B108" s="52"/>
      <c r="C108" s="52"/>
      <c r="D108" s="52"/>
      <c r="E108" s="52"/>
      <c r="F108" s="52"/>
      <c r="G108" s="52"/>
      <c r="H108" s="53"/>
      <c r="I108" s="52"/>
      <c r="J108" s="52"/>
      <c r="K108" s="52"/>
      <c r="L108" s="52"/>
      <c r="M108" s="52"/>
      <c r="N108" s="52"/>
      <c r="O108" s="52"/>
      <c r="P108" s="52"/>
    </row>
    <row r="109" spans="1:16" ht="15" customHeight="1" x14ac:dyDescent="0.3">
      <c r="A109" s="52"/>
      <c r="B109" s="52"/>
      <c r="C109" s="52"/>
      <c r="D109" s="52"/>
      <c r="E109" s="52"/>
      <c r="F109" s="52"/>
      <c r="G109" s="52"/>
      <c r="H109" s="53"/>
      <c r="I109" s="52"/>
      <c r="J109" s="52"/>
      <c r="K109" s="52"/>
      <c r="L109" s="52"/>
      <c r="M109" s="52"/>
      <c r="N109" s="52"/>
      <c r="O109" s="52"/>
      <c r="P109" s="52"/>
    </row>
    <row r="110" spans="1:16" ht="15" customHeight="1" x14ac:dyDescent="0.3">
      <c r="A110" s="52"/>
      <c r="B110" s="52"/>
      <c r="C110" s="52"/>
      <c r="D110" s="52"/>
      <c r="E110" s="52"/>
      <c r="F110" s="52"/>
      <c r="G110" s="52"/>
      <c r="H110" s="53"/>
      <c r="I110" s="52"/>
      <c r="J110" s="52"/>
      <c r="K110" s="52"/>
      <c r="L110" s="52"/>
      <c r="M110" s="52"/>
      <c r="N110" s="52"/>
      <c r="O110" s="52"/>
      <c r="P110" s="52"/>
    </row>
  </sheetData>
  <sheetProtection algorithmName="SHA-512" hashValue="oSebXp+PfSPjaHXd/tkyCYU2P0oLw9KcSFPfW9kTbJeHensWQJqZQVfBDevluf8NLsarMwDMtoNN78aYvq5WuQ==" saltValue="+0JyLvIvVlQ1hKiR+CGFAA==" spinCount="100000" sheet="1" formatCells="0" formatColumns="0" formatRows="0" insertColumns="0" insertRows="0" insertHyperlinks="0" deleteColumns="0" deleteRows="0" sort="0" autoFilter="0"/>
  <phoneticPr fontId="2" type="noConversion"/>
  <dataValidations count="2">
    <dataValidation type="list" allowBlank="1" showInputMessage="1" showErrorMessage="1" sqref="P3:P35" xr:uid="{D526E63E-AD98-46A8-8B4F-AD7208D32C69}">
      <formula1>INDIRECT(SUBSTITUTE(SUBSTITUTE(SUBSTITUTE(O3," ","_"),",","_"),"-","_"))</formula1>
    </dataValidation>
    <dataValidation type="list" allowBlank="1" showInputMessage="1" showErrorMessage="1" sqref="J3:J35" xr:uid="{4EEB68C7-DEFE-40FC-B4A9-78260DD88C7D}">
      <formula1>"Sole contractor,Group leader,Group member,Subcontractor"</formula1>
    </dataValidation>
  </dataValidations>
  <hyperlinks>
    <hyperlink ref="F3" r:id="rId1" xr:uid="{F4B3027F-BF2A-470C-AED8-D4FD0B5681F6}"/>
    <hyperlink ref="F5" r:id="rId2" xr:uid="{EAC233B9-4FB1-4D76-ABF3-D1D1016F5F25}"/>
    <hyperlink ref="F4" r:id="rId3" xr:uid="{B6B9294D-AB78-4C3F-9641-8F87FC420A55}"/>
    <hyperlink ref="F6" r:id="rId4" xr:uid="{8B852C19-870F-4A1D-B5B7-026F21277FC5}"/>
  </hyperlinks>
  <pageMargins left="0.7" right="0.7" top="0.75" bottom="0.75" header="0.3" footer="0.3"/>
  <pageSetup paperSize="9" scale="45" orientation="portrait" r:id="rId5"/>
  <drawing r:id="rId6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6EE9187-67A0-49D3-9456-91C2BDE0A5F3}">
          <x14:formula1>
            <xm:f>'Validation lists'!$B$4:$B$18</xm:f>
          </x14:formula1>
          <xm:sqref>O2:P2</xm:sqref>
        </x14:dataValidation>
        <x14:dataValidation type="list" allowBlank="1" showInputMessage="1" showErrorMessage="1" xr:uid="{BFDA0E82-6951-4F1C-BA1F-C2D7699C87DA}">
          <x14:formula1>
            <xm:f>'Validation lists'!$A$3:$A$4</xm:f>
          </x14:formula1>
          <xm:sqref>G48:G89 F47 G6:G46</xm:sqref>
        </x14:dataValidation>
        <x14:dataValidation type="list" allowBlank="1" showInputMessage="1" showErrorMessage="1" xr:uid="{4AB3C969-B850-4731-9670-807B713FE885}">
          <x14:formula1>
            <xm:f>'Validation lists'!$B$2:$B$18</xm:f>
          </x14:formula1>
          <xm:sqref>K47:N47 O48:O1048576 O3:O5 O12:O46</xm:sqref>
        </x14:dataValidation>
        <x14:dataValidation type="list" allowBlank="1" showInputMessage="1" showErrorMessage="1" xr:uid="{7EAACCF5-1A6B-48C9-9AE9-DFE3DAADB489}">
          <x14:formula1>
            <xm:f>'Validation lists'!$B$2:$B$22</xm:f>
          </x14:formula1>
          <xm:sqref>O6:O11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72E2-5784-432B-9E24-23B7BAC191DD}">
  <dimension ref="A1:T24"/>
  <sheetViews>
    <sheetView zoomScaleNormal="100" workbookViewId="0">
      <selection activeCell="I14" sqref="I14"/>
    </sheetView>
  </sheetViews>
  <sheetFormatPr defaultRowHeight="14.4" x14ac:dyDescent="0.3"/>
  <cols>
    <col min="1" max="1" width="27.44140625" customWidth="1"/>
    <col min="2" max="2" width="86.77734375" style="2" customWidth="1"/>
    <col min="3" max="3" width="50.77734375" customWidth="1"/>
    <col min="12" max="12" width="49.77734375" customWidth="1"/>
  </cols>
  <sheetData>
    <row r="1" spans="1:20" ht="45.75" customHeight="1" x14ac:dyDescent="0.3">
      <c r="A1" s="3" t="s">
        <v>41</v>
      </c>
      <c r="B1" s="3" t="s">
        <v>42</v>
      </c>
      <c r="C1" s="3" t="s">
        <v>43</v>
      </c>
      <c r="D1" s="16" t="s">
        <v>44</v>
      </c>
    </row>
    <row r="2" spans="1:20" ht="28.8" x14ac:dyDescent="0.3">
      <c r="A2" s="1" t="s">
        <v>22</v>
      </c>
      <c r="B2" s="30" t="s">
        <v>23</v>
      </c>
      <c r="C2" s="24" t="s">
        <v>45</v>
      </c>
      <c r="D2" s="23">
        <v>3</v>
      </c>
      <c r="T2" t="b">
        <f>F2=M2</f>
        <v>1</v>
      </c>
    </row>
    <row r="3" spans="1:20" x14ac:dyDescent="0.3">
      <c r="A3" s="1" t="s">
        <v>30</v>
      </c>
      <c r="B3" s="30" t="s">
        <v>23</v>
      </c>
      <c r="C3" s="25" t="s">
        <v>46</v>
      </c>
      <c r="D3" s="23">
        <v>1</v>
      </c>
    </row>
    <row r="4" spans="1:20" ht="32.25" customHeight="1" x14ac:dyDescent="0.3">
      <c r="A4" s="1"/>
      <c r="B4" s="31" t="s">
        <v>47</v>
      </c>
      <c r="C4" s="25" t="s">
        <v>48</v>
      </c>
      <c r="D4" s="23">
        <v>1</v>
      </c>
    </row>
    <row r="5" spans="1:20" ht="28.8" x14ac:dyDescent="0.3">
      <c r="A5" s="1"/>
      <c r="B5" s="31" t="s">
        <v>47</v>
      </c>
      <c r="C5" s="25" t="s">
        <v>24</v>
      </c>
      <c r="D5" s="23">
        <v>2</v>
      </c>
    </row>
    <row r="6" spans="1:20" ht="30" customHeight="1" x14ac:dyDescent="0.3">
      <c r="A6" s="1"/>
      <c r="B6" s="31" t="s">
        <v>47</v>
      </c>
      <c r="C6" s="25" t="s">
        <v>49</v>
      </c>
      <c r="D6" s="23">
        <v>1</v>
      </c>
    </row>
    <row r="7" spans="1:20" ht="30" customHeight="1" x14ac:dyDescent="0.3">
      <c r="B7" s="31" t="s">
        <v>47</v>
      </c>
      <c r="C7" s="25" t="s">
        <v>50</v>
      </c>
      <c r="D7" s="23">
        <v>1</v>
      </c>
    </row>
    <row r="8" spans="1:20" ht="30" customHeight="1" x14ac:dyDescent="0.3">
      <c r="B8" s="31" t="s">
        <v>31</v>
      </c>
      <c r="C8" s="25" t="s">
        <v>32</v>
      </c>
      <c r="D8" s="23">
        <v>1</v>
      </c>
    </row>
    <row r="9" spans="1:20" ht="30" customHeight="1" x14ac:dyDescent="0.3">
      <c r="B9" s="31" t="s">
        <v>31</v>
      </c>
      <c r="C9" s="25" t="s">
        <v>51</v>
      </c>
      <c r="D9" s="23">
        <v>1</v>
      </c>
    </row>
    <row r="10" spans="1:20" ht="30" customHeight="1" x14ac:dyDescent="0.3">
      <c r="B10" s="31" t="s">
        <v>31</v>
      </c>
      <c r="C10" s="25" t="s">
        <v>52</v>
      </c>
      <c r="D10" s="23">
        <v>1</v>
      </c>
    </row>
    <row r="11" spans="1:20" ht="30" customHeight="1" x14ac:dyDescent="0.3">
      <c r="B11" s="31" t="s">
        <v>31</v>
      </c>
      <c r="C11" s="25" t="s">
        <v>53</v>
      </c>
      <c r="D11" s="23">
        <v>1</v>
      </c>
    </row>
    <row r="12" spans="1:20" ht="43.2" x14ac:dyDescent="0.3">
      <c r="B12" s="29" t="s">
        <v>38</v>
      </c>
      <c r="C12" s="25" t="s">
        <v>54</v>
      </c>
      <c r="D12" s="23">
        <v>1</v>
      </c>
    </row>
    <row r="13" spans="1:20" ht="30" customHeight="1" x14ac:dyDescent="0.3">
      <c r="B13" s="29" t="s">
        <v>38</v>
      </c>
      <c r="C13" s="25" t="s">
        <v>55</v>
      </c>
      <c r="D13" s="23">
        <v>1</v>
      </c>
    </row>
    <row r="14" spans="1:20" ht="30" customHeight="1" x14ac:dyDescent="0.3">
      <c r="B14" s="29" t="s">
        <v>38</v>
      </c>
      <c r="C14" s="25" t="s">
        <v>39</v>
      </c>
      <c r="D14" s="23">
        <v>1</v>
      </c>
    </row>
    <row r="15" spans="1:20" ht="30" customHeight="1" x14ac:dyDescent="0.3">
      <c r="B15" s="29" t="s">
        <v>38</v>
      </c>
      <c r="C15" s="25" t="s">
        <v>56</v>
      </c>
      <c r="D15" s="23">
        <v>1</v>
      </c>
    </row>
    <row r="16" spans="1:20" ht="30" customHeight="1" x14ac:dyDescent="0.3">
      <c r="B16" s="29" t="s">
        <v>38</v>
      </c>
      <c r="C16" s="25" t="s">
        <v>57</v>
      </c>
      <c r="D16" s="23">
        <v>1</v>
      </c>
    </row>
    <row r="17" spans="2:4" ht="30" customHeight="1" x14ac:dyDescent="0.3">
      <c r="B17" s="29" t="s">
        <v>38</v>
      </c>
      <c r="C17" s="25" t="s">
        <v>58</v>
      </c>
      <c r="D17" s="23">
        <v>1</v>
      </c>
    </row>
    <row r="18" spans="2:4" ht="30" customHeight="1" x14ac:dyDescent="0.3">
      <c r="B18" s="29" t="s">
        <v>59</v>
      </c>
      <c r="C18" s="25" t="s">
        <v>60</v>
      </c>
      <c r="D18" s="23">
        <v>4</v>
      </c>
    </row>
    <row r="19" spans="2:4" ht="30" customHeight="1" x14ac:dyDescent="0.3">
      <c r="B19" s="29" t="s">
        <v>59</v>
      </c>
      <c r="C19" s="25" t="s">
        <v>61</v>
      </c>
      <c r="D19" s="23">
        <v>3</v>
      </c>
    </row>
    <row r="20" spans="2:4" ht="30" customHeight="1" x14ac:dyDescent="0.3">
      <c r="B20" s="29" t="s">
        <v>59</v>
      </c>
      <c r="C20" s="25" t="s">
        <v>62</v>
      </c>
      <c r="D20" s="23">
        <v>1</v>
      </c>
    </row>
    <row r="21" spans="2:4" ht="30" customHeight="1" x14ac:dyDescent="0.3">
      <c r="B21" s="29" t="s">
        <v>59</v>
      </c>
      <c r="C21" s="25" t="s">
        <v>63</v>
      </c>
      <c r="D21" s="23">
        <v>1</v>
      </c>
    </row>
    <row r="22" spans="2:4" ht="30" customHeight="1" x14ac:dyDescent="0.3">
      <c r="B22" s="29" t="s">
        <v>59</v>
      </c>
      <c r="C22" s="25" t="s">
        <v>64</v>
      </c>
      <c r="D22" s="23">
        <v>1</v>
      </c>
    </row>
    <row r="23" spans="2:4" x14ac:dyDescent="0.3">
      <c r="C23" s="2"/>
    </row>
    <row r="24" spans="2:4" x14ac:dyDescent="0.3">
      <c r="C24" s="2"/>
    </row>
  </sheetData>
  <sheetProtection algorithmName="SHA-512" hashValue="vhQ6st4gamgctHfPX7eE7uvU7EGkEXt3xEtOxd7fB80lyZ3je/ierrFoBMZQekae0eill9tryNA9L/inH/YWlQ==" saltValue="KYPY0fTWYzWxEhuBS9UTnQ==" spinCount="100000" sheet="1" objects="1" scenarios="1"/>
  <phoneticPr fontId="2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019F5-90F3-474C-8DFF-EA200ABFB9BC}">
  <dimension ref="A1:G24"/>
  <sheetViews>
    <sheetView workbookViewId="0">
      <selection activeCell="A14" sqref="A14:C24"/>
    </sheetView>
  </sheetViews>
  <sheetFormatPr defaultRowHeight="14.4" x14ac:dyDescent="0.3"/>
  <cols>
    <col min="2" max="2" width="58.77734375" customWidth="1"/>
    <col min="3" max="3" width="67.21875" customWidth="1"/>
    <col min="9" max="9" width="20.21875" customWidth="1"/>
  </cols>
  <sheetData>
    <row r="1" spans="1:7" ht="18" x14ac:dyDescent="0.35">
      <c r="A1" s="68" t="s">
        <v>65</v>
      </c>
      <c r="B1" s="69"/>
      <c r="C1" s="69"/>
      <c r="D1" s="69"/>
      <c r="E1" s="69"/>
      <c r="F1" s="69"/>
      <c r="G1" s="69"/>
    </row>
    <row r="2" spans="1:7" ht="15" thickBot="1" x14ac:dyDescent="0.35"/>
    <row r="3" spans="1:7" ht="15.6" thickTop="1" thickBot="1" x14ac:dyDescent="0.35">
      <c r="A3" s="27" t="s">
        <v>66</v>
      </c>
      <c r="B3" s="27" t="s">
        <v>67</v>
      </c>
      <c r="C3" s="26" t="s">
        <v>15</v>
      </c>
    </row>
    <row r="4" spans="1:7" ht="15" thickTop="1" x14ac:dyDescent="0.3">
      <c r="A4" s="32" t="s">
        <v>68</v>
      </c>
      <c r="B4" s="33" t="s">
        <v>69</v>
      </c>
      <c r="C4" s="34" t="s">
        <v>45</v>
      </c>
    </row>
    <row r="5" spans="1:7" x14ac:dyDescent="0.3">
      <c r="A5" s="35"/>
      <c r="B5" s="36"/>
      <c r="C5" s="28" t="s">
        <v>46</v>
      </c>
    </row>
    <row r="6" spans="1:7" x14ac:dyDescent="0.3">
      <c r="A6" s="35"/>
      <c r="B6" s="28" t="s">
        <v>70</v>
      </c>
      <c r="C6" s="28" t="s">
        <v>48</v>
      </c>
    </row>
    <row r="7" spans="1:7" x14ac:dyDescent="0.3">
      <c r="A7" s="35"/>
      <c r="B7" s="28"/>
      <c r="C7" s="28" t="s">
        <v>24</v>
      </c>
    </row>
    <row r="8" spans="1:7" ht="28.8" x14ac:dyDescent="0.3">
      <c r="A8" s="35"/>
      <c r="B8" s="28"/>
      <c r="C8" s="28" t="s">
        <v>49</v>
      </c>
    </row>
    <row r="9" spans="1:7" ht="28.8" x14ac:dyDescent="0.3">
      <c r="A9" s="35"/>
      <c r="B9" s="28"/>
      <c r="C9" s="28" t="s">
        <v>50</v>
      </c>
    </row>
    <row r="10" spans="1:7" x14ac:dyDescent="0.3">
      <c r="A10" s="35"/>
      <c r="B10" s="28" t="s">
        <v>71</v>
      </c>
      <c r="C10" s="28" t="s">
        <v>32</v>
      </c>
    </row>
    <row r="11" spans="1:7" x14ac:dyDescent="0.3">
      <c r="A11" s="35"/>
      <c r="B11" s="28"/>
      <c r="C11" s="28" t="s">
        <v>51</v>
      </c>
    </row>
    <row r="12" spans="1:7" ht="28.8" x14ac:dyDescent="0.3">
      <c r="A12" s="35"/>
      <c r="B12" s="28"/>
      <c r="C12" s="28" t="s">
        <v>52</v>
      </c>
    </row>
    <row r="13" spans="1:7" ht="28.8" x14ac:dyDescent="0.3">
      <c r="A13" s="35"/>
      <c r="B13" s="28"/>
      <c r="C13" s="28" t="s">
        <v>53</v>
      </c>
    </row>
    <row r="14" spans="1:7" ht="28.8" x14ac:dyDescent="0.3">
      <c r="A14" s="37" t="s">
        <v>72</v>
      </c>
      <c r="B14" s="38" t="s">
        <v>73</v>
      </c>
      <c r="C14" s="38" t="s">
        <v>54</v>
      </c>
    </row>
    <row r="15" spans="1:7" x14ac:dyDescent="0.3">
      <c r="A15" s="39"/>
      <c r="B15" s="38"/>
      <c r="C15" s="38" t="s">
        <v>55</v>
      </c>
    </row>
    <row r="16" spans="1:7" x14ac:dyDescent="0.3">
      <c r="A16" s="39"/>
      <c r="B16" s="38"/>
      <c r="C16" s="38" t="s">
        <v>39</v>
      </c>
    </row>
    <row r="17" spans="1:3" x14ac:dyDescent="0.3">
      <c r="A17" s="39"/>
      <c r="B17" s="38"/>
      <c r="C17" s="38" t="s">
        <v>56</v>
      </c>
    </row>
    <row r="18" spans="1:3" x14ac:dyDescent="0.3">
      <c r="A18" s="39"/>
      <c r="B18" s="38"/>
      <c r="C18" s="38" t="s">
        <v>57</v>
      </c>
    </row>
    <row r="19" spans="1:3" ht="28.8" x14ac:dyDescent="0.3">
      <c r="A19" s="39"/>
      <c r="B19" s="38"/>
      <c r="C19" s="38" t="s">
        <v>58</v>
      </c>
    </row>
    <row r="20" spans="1:3" ht="28.8" x14ac:dyDescent="0.3">
      <c r="A20" s="39"/>
      <c r="B20" s="38" t="s">
        <v>74</v>
      </c>
      <c r="C20" s="38" t="s">
        <v>60</v>
      </c>
    </row>
    <row r="21" spans="1:3" ht="28.8" x14ac:dyDescent="0.3">
      <c r="A21" s="39"/>
      <c r="B21" s="38"/>
      <c r="C21" s="38" t="s">
        <v>61</v>
      </c>
    </row>
    <row r="22" spans="1:3" x14ac:dyDescent="0.3">
      <c r="A22" s="39"/>
      <c r="B22" s="38"/>
      <c r="C22" s="38" t="s">
        <v>62</v>
      </c>
    </row>
    <row r="23" spans="1:3" x14ac:dyDescent="0.3">
      <c r="A23" s="39"/>
      <c r="B23" s="38"/>
      <c r="C23" s="38" t="s">
        <v>63</v>
      </c>
    </row>
    <row r="24" spans="1:3" x14ac:dyDescent="0.3">
      <c r="A24" s="39"/>
      <c r="B24" s="38"/>
      <c r="C24" s="38" t="s">
        <v>64</v>
      </c>
    </row>
  </sheetData>
  <sheetProtection algorithmName="SHA-512" hashValue="KmUikiBy2YuL+eg+E8NRLslcprb+KnQBdxE7Xrq/YaBwz4zmOrBOks1NmyCVI8pNDDy1RyCyMcsR0fmz2YzEZA==" saltValue="w99f/bsDQ6vrnWA2bWJ28A==" spinCount="100000" sheet="1" objects="1" scenarios="1"/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85410d-84ea-41b1-85eb-e28cbf623fd0">
      <Terms xmlns="http://schemas.microsoft.com/office/infopath/2007/PartnerControls"/>
    </lcf76f155ced4ddcb4097134ff3c332f>
    <TaxCatchAll xmlns="a112bef9-f205-4370-ac27-e0fa50e7fb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319487AD1BB341ADFB2BEB4F8D9B10" ma:contentTypeVersion="16" ma:contentTypeDescription="Create a new document." ma:contentTypeScope="" ma:versionID="71f7f1ac1c44f6b87c1752d6897f1a23">
  <xsd:schema xmlns:xsd="http://www.w3.org/2001/XMLSchema" xmlns:xs="http://www.w3.org/2001/XMLSchema" xmlns:p="http://schemas.microsoft.com/office/2006/metadata/properties" xmlns:ns2="e585410d-84ea-41b1-85eb-e28cbf623fd0" xmlns:ns3="a112bef9-f205-4370-ac27-e0fa50e7fbe8" targetNamespace="http://schemas.microsoft.com/office/2006/metadata/properties" ma:root="true" ma:fieldsID="c01e49112a3a7dd4796d19b94af04b58" ns2:_="" ns3:_="">
    <xsd:import namespace="e585410d-84ea-41b1-85eb-e28cbf623fd0"/>
    <xsd:import namespace="a112bef9-f205-4370-ac27-e0fa50e7fb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85410d-84ea-41b1-85eb-e28cbf623f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480deca-a13b-4ade-99cb-88c58724d4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2bef9-f205-4370-ac27-e0fa50e7fbe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1d90bfc-25c3-4ddd-8ff2-1c59611dce4d}" ma:internalName="TaxCatchAll" ma:showField="CatchAllData" ma:web="a112bef9-f205-4370-ac27-e0fa50e7fb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5E3007-D92F-4266-8DC3-BADD473310C5}">
  <ds:schemaRefs>
    <ds:schemaRef ds:uri="http://schemas.microsoft.com/office/2006/metadata/properties"/>
    <ds:schemaRef ds:uri="http://schemas.microsoft.com/office/infopath/2007/PartnerControls"/>
    <ds:schemaRef ds:uri="c104a7e3-e0a9-46cf-92ee-9b62dc9a36e8"/>
    <ds:schemaRef ds:uri="641315ca-0572-423e-bd92-cff020455c2a"/>
    <ds:schemaRef ds:uri="0a2d36ee-5f11-4bf1-b542-18ed165201b1"/>
    <ds:schemaRef ds:uri="d654c213-5a56-41a6-b000-b04d39643685"/>
    <ds:schemaRef ds:uri="http://schemas.microsoft.com/sharepoint/v3"/>
    <ds:schemaRef ds:uri="e585410d-84ea-41b1-85eb-e28cbf623fd0"/>
    <ds:schemaRef ds:uri="a112bef9-f205-4370-ac27-e0fa50e7fbe8"/>
  </ds:schemaRefs>
</ds:datastoreItem>
</file>

<file path=customXml/itemProps2.xml><?xml version="1.0" encoding="utf-8"?>
<ds:datastoreItem xmlns:ds="http://schemas.openxmlformats.org/officeDocument/2006/customXml" ds:itemID="{8A6D2746-15DB-4EF6-BF77-3514E045B4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A327B7-32EF-43C6-9B49-A9F6BFD249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5</vt:i4>
      </vt:variant>
    </vt:vector>
  </HeadingPairs>
  <TitlesOfParts>
    <vt:vector size="8" baseType="lpstr">
      <vt:lpstr>Contract List</vt:lpstr>
      <vt:lpstr>Validation lists</vt:lpstr>
      <vt:lpstr>Expertise fields</vt:lpstr>
      <vt:lpstr>Group_A___Evaluation__Monitoring_and_Benchmarking</vt:lpstr>
      <vt:lpstr>Group_A___Legal_and_Regulatory_Advisory__including_digital_ready_policymaking</vt:lpstr>
      <vt:lpstr>Group_A___Market_Analysis__Foresight_and_Strategic_Advice</vt:lpstr>
      <vt:lpstr>Group_B___Digital_Strategy__Governance__AI_and_Data</vt:lpstr>
      <vt:lpstr>Group_B___Implementation_and_Innovation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ASCORBE Maria (DIGIT)</dc:creator>
  <cp:keywords/>
  <dc:description/>
  <cp:lastModifiedBy>Alessandro Limon</cp:lastModifiedBy>
  <cp:revision/>
  <dcterms:created xsi:type="dcterms:W3CDTF">2024-09-03T12:15:21Z</dcterms:created>
  <dcterms:modified xsi:type="dcterms:W3CDTF">2025-09-23T17:02:31Z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2024-09-03T12:36:25Z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b813813f-173b-4baf-9cef-09f49bd143b3</vt:lpwstr>
  </property>
  <property fmtid="{D5CDD505-2E9C-101B-9397-08002B2CF9AE}" pid="8" name="MSIP_Label_6bd9ddd1-4d20-43f6-abfa-fc3c07406f94_ContentBits">
    <vt:lpwstr>0</vt:lpwstr>
  </property>
  <property fmtid="{D5CDD505-2E9C-101B-9397-08002B2CF9AE}" pid="9" name="ContentTypeId">
    <vt:lpwstr>0x01010051319487AD1BB341ADFB2BEB4F8D9B10</vt:lpwstr>
  </property>
  <property fmtid="{D5CDD505-2E9C-101B-9397-08002B2CF9AE}" pid="10" name="MediaServiceImageTags">
    <vt:lpwstr/>
  </property>
  <property fmtid="{D5CDD505-2E9C-101B-9397-08002B2CF9AE}" pid="11" name="MSIP_Label_b0d5c4f4-7a29-4385-b7a5-afbe2154ae6f_Enabled">
    <vt:lpwstr>true</vt:lpwstr>
  </property>
  <property fmtid="{D5CDD505-2E9C-101B-9397-08002B2CF9AE}" pid="12" name="MSIP_Label_b0d5c4f4-7a29-4385-b7a5-afbe2154ae6f_SetDate">
    <vt:lpwstr>2025-09-03T16:49:47Z</vt:lpwstr>
  </property>
  <property fmtid="{D5CDD505-2E9C-101B-9397-08002B2CF9AE}" pid="13" name="MSIP_Label_b0d5c4f4-7a29-4385-b7a5-afbe2154ae6f_Method">
    <vt:lpwstr>Standard</vt:lpwstr>
  </property>
  <property fmtid="{D5CDD505-2E9C-101B-9397-08002B2CF9AE}" pid="14" name="MSIP_Label_b0d5c4f4-7a29-4385-b7a5-afbe2154ae6f_Name">
    <vt:lpwstr>Confidential</vt:lpwstr>
  </property>
  <property fmtid="{D5CDD505-2E9C-101B-9397-08002B2CF9AE}" pid="15" name="MSIP_Label_b0d5c4f4-7a29-4385-b7a5-afbe2154ae6f_SiteId">
    <vt:lpwstr>2dfb2f0b-4d21-4268-9559-72926144c918</vt:lpwstr>
  </property>
  <property fmtid="{D5CDD505-2E9C-101B-9397-08002B2CF9AE}" pid="16" name="MSIP_Label_b0d5c4f4-7a29-4385-b7a5-afbe2154ae6f_ActionId">
    <vt:lpwstr>ebba2976-b783-4ec3-960a-58d687f2e77e</vt:lpwstr>
  </property>
  <property fmtid="{D5CDD505-2E9C-101B-9397-08002B2CF9AE}" pid="17" name="MSIP_Label_b0d5c4f4-7a29-4385-b7a5-afbe2154ae6f_ContentBits">
    <vt:lpwstr>0</vt:lpwstr>
  </property>
  <property fmtid="{D5CDD505-2E9C-101B-9397-08002B2CF9AE}" pid="18" name="MSIP_Label_b0d5c4f4-7a29-4385-b7a5-afbe2154ae6f_Tag">
    <vt:lpwstr>10, 3, 0, 1</vt:lpwstr>
  </property>
</Properties>
</file>